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 PIZZE" sheetId="1" r:id="rId4"/>
    <sheet state="visible" name="INGREDIENTI" sheetId="2" r:id="rId5"/>
    <sheet state="visible" name="IN PREPARAZIONE" sheetId="3" r:id="rId6"/>
    <sheet state="visible" name="Ricette dei preparati" sheetId="4" r:id="rId7"/>
    <sheet state="visible" name="IMPASTO" sheetId="5" r:id="rId8"/>
    <sheet state="visible" name="TOTALI PIZZE" sheetId="6" r:id="rId9"/>
    <sheet state="visible" name="Pizza del (inizio)" sheetId="7" r:id="rId10"/>
    <sheet state="visible" name="Pizza del 892024" sheetId="8" r:id="rId11"/>
    <sheet state="visible" name="Pizza del 2292024" sheetId="9" r:id="rId12"/>
    <sheet state="visible" name="Pizza del 2892024" sheetId="10" r:id="rId13"/>
    <sheet state="visible" name="Pizza del 17102024" sheetId="11" r:id="rId14"/>
    <sheet state="visible" name="Pizza del 26102024" sheetId="12" r:id="rId15"/>
    <sheet state="visible" name="Pizza del 10112024" sheetId="13" r:id="rId16"/>
    <sheet state="visible" name="Pizza del 21112024" sheetId="14" r:id="rId17"/>
    <sheet state="visible" name="Pizza del 24122024" sheetId="15" r:id="rId18"/>
    <sheet state="visible" name="Pizza del 29122024" sheetId="16" r:id="rId19"/>
  </sheets>
  <definedNames>
    <definedName name="PIZZERICHIESTE">'MENU PIZZE'!$A$4:$A$110</definedName>
    <definedName name="IngredientiInFoglioPizze">'MENU PIZZE'!$E$4:$L$110</definedName>
    <definedName name="Pizze">'MENU PIZZE'!$A$4:$Q$110</definedName>
    <definedName name="CercaIngrediente">'MENU PIZZE'!$S$2</definedName>
    <definedName name="QTAGIADISPONIBILE">INGREDIENTI!$D$3:$D$141</definedName>
    <definedName name="Ingredienti">INGREDIENTI!$A$3:$I$141</definedName>
    <definedName name="OrdineDiProduzione">'MENU PIZZE'!$N$4:$N$110</definedName>
  </definedNames>
  <calcPr/>
</workbook>
</file>

<file path=xl/sharedStrings.xml><?xml version="1.0" encoding="utf-8"?>
<sst xmlns="http://schemas.openxmlformats.org/spreadsheetml/2006/main" count="2620" uniqueCount="501">
  <si>
    <t xml:space="preserve">  Cerca ingrediente</t>
  </si>
  <si>
    <t>Aggiungi pizza</t>
  </si>
  <si>
    <t>Aggiungi evento</t>
  </si>
  <si>
    <t>Totalizza eventi</t>
  </si>
  <si>
    <t xml:space="preserve">Crea MENU
</t>
  </si>
  <si>
    <t>Da fare</t>
  </si>
  <si>
    <t>DISPONIBILI (ingredienti in casa)</t>
  </si>
  <si>
    <t>TIPO</t>
  </si>
  <si>
    <t>NOME</t>
  </si>
  <si>
    <t>INGREDIENTI          Pomodoro</t>
  </si>
  <si>
    <t>Mozzarella</t>
  </si>
  <si>
    <t>Principale 1</t>
  </si>
  <si>
    <t>Principale 2</t>
  </si>
  <si>
    <t>Altro 1</t>
  </si>
  <si>
    <t>Altro 2</t>
  </si>
  <si>
    <t>Altro 3</t>
  </si>
  <si>
    <t>Altro 4</t>
  </si>
  <si>
    <t>RI/DI</t>
  </si>
  <si>
    <t>ORDINE DI PRODUZIONE</t>
  </si>
  <si>
    <t>Prec</t>
  </si>
  <si>
    <t>Descrizione per menù</t>
  </si>
  <si>
    <t>NEW</t>
  </si>
  <si>
    <t>Base</t>
  </si>
  <si>
    <t>MARGHERITA</t>
  </si>
  <si>
    <t>Pomodoro</t>
  </si>
  <si>
    <t>Fiordilatte</t>
  </si>
  <si>
    <t>Parmigiano</t>
  </si>
  <si>
    <t>Basilico *</t>
  </si>
  <si>
    <t>-</t>
  </si>
  <si>
    <t>La classica Margherita con una spolverata di parmigiano</t>
  </si>
  <si>
    <t>Speciale</t>
  </si>
  <si>
    <t>GAMBERI&amp;GUACA</t>
  </si>
  <si>
    <t>Guacamole *</t>
  </si>
  <si>
    <t>Gamberi rossi *</t>
  </si>
  <si>
    <t>Stracciatella *</t>
  </si>
  <si>
    <t>Scorza di limone *</t>
  </si>
  <si>
    <t>Pepe *</t>
  </si>
  <si>
    <t>Focaccia con in uscita: Guacamole, Gamberi rossi, Stracciatella, Scorza di limone e Pepe</t>
  </si>
  <si>
    <t>4GEL&amp;LIQUIRIZIA</t>
  </si>
  <si>
    <t>Pecorino</t>
  </si>
  <si>
    <t>Gorgonzola</t>
  </si>
  <si>
    <t>Gel di agrumi</t>
  </si>
  <si>
    <t>Liquirizia polvere *</t>
  </si>
  <si>
    <t>4 formaggi (Fiordilatte, Parmigiano, Pecorino, Gorgonzola), Gel di Agrumi, Liquirizia</t>
  </si>
  <si>
    <t>STRACCIA CONFIT</t>
  </si>
  <si>
    <t>Pomodorini confit</t>
  </si>
  <si>
    <t>Fiordilatte Pomodorini Confit, Parmigiano. In uscita: Stracciatella, Basilico, scorzette di limone</t>
  </si>
  <si>
    <t>AGLIO NERO E FUNGHI</t>
  </si>
  <si>
    <t>Funghi</t>
  </si>
  <si>
    <t>Emulsione di aglio nero *</t>
  </si>
  <si>
    <t>Prezzemolo</t>
  </si>
  <si>
    <t>I TRE POMI</t>
  </si>
  <si>
    <t>Pomodoro giallo</t>
  </si>
  <si>
    <t>Pomod.Pachino</t>
  </si>
  <si>
    <t>Pomodori secchi (crema)</t>
  </si>
  <si>
    <t>Origano *</t>
  </si>
  <si>
    <t>Base di pomodoro giallo, Pomodorini Confit, Crema di pomodori secchi, origano</t>
  </si>
  <si>
    <t>BACCARINA IN VASO</t>
  </si>
  <si>
    <t>Baccalà in vasocottura</t>
  </si>
  <si>
    <t>Granella di mandorle *</t>
  </si>
  <si>
    <t>Rossa con Baccalà in Vasocottura, Emulsione di Aglio Nero, Granella di mandorle</t>
  </si>
  <si>
    <t>CECINELLA</t>
  </si>
  <si>
    <t>Crema di ceci *</t>
  </si>
  <si>
    <t>Zucchine</t>
  </si>
  <si>
    <t>Crema di Ceci, Fiordilatte, Pomodori Pachino, Zucchine</t>
  </si>
  <si>
    <t>IL FATTORE IGNARO</t>
  </si>
  <si>
    <t>Taleggio</t>
  </si>
  <si>
    <t>Speck</t>
  </si>
  <si>
    <t>Pere *</t>
  </si>
  <si>
    <t>Noci *</t>
  </si>
  <si>
    <t>Taleggio, Pere, Speck, Noci, Pepe nero</t>
  </si>
  <si>
    <t>MARINANGURIA</t>
  </si>
  <si>
    <t>Pomodoro stracotto</t>
  </si>
  <si>
    <t>Peperoncino</t>
  </si>
  <si>
    <t>Stracotto di pomodoro, Pomodorini Confit, Origano, Emulsione di aglio nero, Peperoncino</t>
  </si>
  <si>
    <t>SUSHI ROLL</t>
  </si>
  <si>
    <t>Salmone *</t>
  </si>
  <si>
    <t>Semi di sesamo tostati</t>
  </si>
  <si>
    <t>Maionese al wasabi *</t>
  </si>
  <si>
    <t>Salmone, Avocado, Semi di sesamo tostati, maionese al wasabi</t>
  </si>
  <si>
    <t>PAELLA</t>
  </si>
  <si>
    <t>Misto Pesce paella</t>
  </si>
  <si>
    <t>Salsa aioli *</t>
  </si>
  <si>
    <t>Gamberi, Cozze, Zafferano, Salsa aioli</t>
  </si>
  <si>
    <t>BOEUF BOURGUIGNONNE</t>
  </si>
  <si>
    <t>Fontina da fonduta</t>
  </si>
  <si>
    <t>Stracotto di manzo *</t>
  </si>
  <si>
    <t>Cipolla caramellata</t>
  </si>
  <si>
    <t>Fonduta, Stracotto di Manzo, Funghi, Cipolla caramellata</t>
  </si>
  <si>
    <t>PIZZOCCHERA</t>
  </si>
  <si>
    <t>Bitto o Casera</t>
  </si>
  <si>
    <t>Verza e Patate</t>
  </si>
  <si>
    <t>Chips di grano saraceno *</t>
  </si>
  <si>
    <t>Casera, Patate, Verza, Chips di grano saraceno</t>
  </si>
  <si>
    <t>BOLOGNA</t>
  </si>
  <si>
    <t>Mortadella</t>
  </si>
  <si>
    <t>Salsa di pistacchi *</t>
  </si>
  <si>
    <t>STRACCIABRESAOLA</t>
  </si>
  <si>
    <t>Bresaola</t>
  </si>
  <si>
    <t>FRIARIELLI</t>
  </si>
  <si>
    <t>Salsiccia</t>
  </si>
  <si>
    <t>Friarielli</t>
  </si>
  <si>
    <t>FIORITA</t>
  </si>
  <si>
    <t>Fiori di zucca</t>
  </si>
  <si>
    <t>Acciughe</t>
  </si>
  <si>
    <t>Fiordilatte, Fiori di Zucca, Acciughe. In uscita: Stracciatella di Burrata</t>
  </si>
  <si>
    <t>ANATRA&amp;ARANCIA</t>
  </si>
  <si>
    <t>Anatra *</t>
  </si>
  <si>
    <t>Scorzette di arancia *</t>
  </si>
  <si>
    <t>ALICI E BURRATA</t>
  </si>
  <si>
    <t>STRACCIACRUDO</t>
  </si>
  <si>
    <t>Crudo *</t>
  </si>
  <si>
    <t>POLPOSA</t>
  </si>
  <si>
    <t>Polpo</t>
  </si>
  <si>
    <t>Olive verdi</t>
  </si>
  <si>
    <t>Rossa con Polpo, Olive verdi, Origano e prezzemolo</t>
  </si>
  <si>
    <t>METATO</t>
  </si>
  <si>
    <t>Provola affumicata</t>
  </si>
  <si>
    <t>Crema di castagne *</t>
  </si>
  <si>
    <t>Rosmarino</t>
  </si>
  <si>
    <t>Provola affumicata, Porcini, Crema di castagne, Rosmarino</t>
  </si>
  <si>
    <t>SALTALFUNGO</t>
  </si>
  <si>
    <t>Salsiccia, Taleggio, Porcini, Pepe nero</t>
  </si>
  <si>
    <t>Classica</t>
  </si>
  <si>
    <t>STRACAPOECOLLO</t>
  </si>
  <si>
    <t>Carciofini</t>
  </si>
  <si>
    <t>Capocollo</t>
  </si>
  <si>
    <t>Stracotto di pomodoro, Fiordilatte, Carciofini, Capocollo</t>
  </si>
  <si>
    <t>PICCANTOLA</t>
  </si>
  <si>
    <t xml:space="preserve">Salame piccante </t>
  </si>
  <si>
    <t>Miele *</t>
  </si>
  <si>
    <t>Bianca con Gorgonzola, Miele e Salame piccante</t>
  </si>
  <si>
    <t>SPECCASTAGNA</t>
  </si>
  <si>
    <t>Provola affumicata, Speck, Crema di castagne</t>
  </si>
  <si>
    <t>CECIECOZZE</t>
  </si>
  <si>
    <t>Cozze</t>
  </si>
  <si>
    <t>Rossa con Cozze e Pepe. In uscita Crema di Ceci</t>
  </si>
  <si>
    <t>AVOCADOTOAST</t>
  </si>
  <si>
    <t>Uova strapazzate *</t>
  </si>
  <si>
    <t>Guacamole, Salmone, Provola, Uovo strapazzato, Pepe</t>
  </si>
  <si>
    <t>BUFALA&amp;CRUDO</t>
  </si>
  <si>
    <t>Bufala</t>
  </si>
  <si>
    <t>Tradizionale margherita arricchita di Bufala e prosciutto crudo</t>
  </si>
  <si>
    <t>FIRENZE</t>
  </si>
  <si>
    <t>Crema di pecorino</t>
  </si>
  <si>
    <t>Finocchiona</t>
  </si>
  <si>
    <t>Rossa con crema di pecorino, Finocchiona e carciofini</t>
  </si>
  <si>
    <t>GAMBERI&amp;MANGO</t>
  </si>
  <si>
    <t>Salsa al mango *</t>
  </si>
  <si>
    <t>Fiordilatte, Gamberi, Pomodirini Pachino e Salsa al Mango</t>
  </si>
  <si>
    <t>PISELLINA</t>
  </si>
  <si>
    <t>Pancetta *</t>
  </si>
  <si>
    <t>Crema di piselli *</t>
  </si>
  <si>
    <t>Base fiordilatte. In uscita: Crema di piselli, Pancetta, Uova strapazzate</t>
  </si>
  <si>
    <t>PORCHE' CON PATATE</t>
  </si>
  <si>
    <t>Porchetta</t>
  </si>
  <si>
    <t>Patate in crosta</t>
  </si>
  <si>
    <t>Pizza "baciata" con Fiordilatte, Porchetta, Crosta di Patate</t>
  </si>
  <si>
    <t>CALABRESE GENTILE</t>
  </si>
  <si>
    <t>Nduja</t>
  </si>
  <si>
    <t>Pomodoro, provola affumicata, Nduja e Stracciatella in uscita</t>
  </si>
  <si>
    <t>QUATTRO FORMAGGI</t>
  </si>
  <si>
    <t>Fiordilatte, Provola affumicata, Gorgonzola, Parmigiano</t>
  </si>
  <si>
    <t>BACCARINA</t>
  </si>
  <si>
    <t>Crema di peperoni</t>
  </si>
  <si>
    <t>Baccalà mantecato *</t>
  </si>
  <si>
    <t>Fiori di cappero *</t>
  </si>
  <si>
    <t>Fiordilatte, Crema di peperone, Baccalà mantecato, Fiore di cappero e Scorzette di arancia</t>
  </si>
  <si>
    <t>COL CAVOLO</t>
  </si>
  <si>
    <t>Cavolo nero stufato</t>
  </si>
  <si>
    <t>Porri</t>
  </si>
  <si>
    <t>Pecorino romano</t>
  </si>
  <si>
    <t>Senape</t>
  </si>
  <si>
    <t>Fiordilatte, Cavolo nero stufato, Porri, Pecorino romano, Gocce di senape</t>
  </si>
  <si>
    <t>CAPO&amp;COLLO</t>
  </si>
  <si>
    <t>Rossa con Capocollo e Stracciatella di burrata</t>
  </si>
  <si>
    <t>PROVOLAGIALLA</t>
  </si>
  <si>
    <t>Purea di pomodoro giallo, Provola, Speck, Pecorino romano, Basilico</t>
  </si>
  <si>
    <t>CRUDO&amp;MANGO</t>
  </si>
  <si>
    <t>Pizza bianca farcita in uscita da Stracciatella, Crudo e Salsa al Mango</t>
  </si>
  <si>
    <t>TARTARE</t>
  </si>
  <si>
    <t>Pesto di rucola</t>
  </si>
  <si>
    <t>Tartare di Fassona *</t>
  </si>
  <si>
    <t>Fiordilatte, Pesto di rucola, Tartare di fassona, Parmigiano e Pepe</t>
  </si>
  <si>
    <t>COL CAVOLO MA DOLCE</t>
  </si>
  <si>
    <t>Patate dolci</t>
  </si>
  <si>
    <t>Fiordilatte, Cavolo nero stufato, Patate dolci e Parmigiano</t>
  </si>
  <si>
    <t>ZOLAVIOLA</t>
  </si>
  <si>
    <t>Crema di patate viola</t>
  </si>
  <si>
    <t>Crema di patate viola, Gorgonzola, Porri</t>
  </si>
  <si>
    <t>FIORITA++</t>
  </si>
  <si>
    <t>Crema di zucchine</t>
  </si>
  <si>
    <t>Fiordilatte, Crema di zucchine, Fiori di Zucca, Acciughe. In uscita: Stracciatella di Burrata</t>
  </si>
  <si>
    <t>OSHIRASE</t>
  </si>
  <si>
    <t>Manzo marinato *</t>
  </si>
  <si>
    <t>Crema di friarielli *</t>
  </si>
  <si>
    <t>Fiordilatte, Filetti di manzo marinato in soia e zenzero, Crema di friarielli</t>
  </si>
  <si>
    <t>BARBAGONZO</t>
  </si>
  <si>
    <t>Crema di barbabietola</t>
  </si>
  <si>
    <t>Fiordilatte, Crema di barbabietola, Gorgonzola, Pepe nero</t>
  </si>
  <si>
    <t>RIGA I MONTI</t>
  </si>
  <si>
    <t>Pomodorini gialli</t>
  </si>
  <si>
    <t>Aceto balsamico *</t>
  </si>
  <si>
    <t>Pomodoro, Fiordilatte, Pomodorini gialli. In uscita: Bresaola, Parmigiano, Aceto Balsamico</t>
  </si>
  <si>
    <t>STRAWBERRYFIELDS</t>
  </si>
  <si>
    <t>Finocchi grigliati *</t>
  </si>
  <si>
    <t>Fragole *</t>
  </si>
  <si>
    <t>Fiordilatte, Finocchi grigliati, Pecorino, Gorgonzola, Fragole</t>
  </si>
  <si>
    <t>PORCHE' ?</t>
  </si>
  <si>
    <t>Broccoli</t>
  </si>
  <si>
    <t>Fiordilatte, Provola affumicata, Broccoli, Porchetta</t>
  </si>
  <si>
    <t>TATAKI</t>
  </si>
  <si>
    <t>Tonno Tataki *</t>
  </si>
  <si>
    <t>Granella di pistacchi *</t>
  </si>
  <si>
    <t>Fiordilatte, Filetti di Tonno in salsa Tataki, Cipolla caramellata, Pomodorini gialli, Granella di Pistacchi</t>
  </si>
  <si>
    <t>PROSCIUTTO&amp;MELONE</t>
  </si>
  <si>
    <t>Crema di Melone</t>
  </si>
  <si>
    <t>Fiordilatte, Emulsione di melone. In uscita: Prosciutto crudo, Parmigiano, Basilico</t>
  </si>
  <si>
    <t>ANANA'S</t>
  </si>
  <si>
    <t>Ananas caramellato</t>
  </si>
  <si>
    <t>Ananas caramellato, scamorza affumicata. In uscita: Pecorino romano, Basilico, Pepe nero</t>
  </si>
  <si>
    <t>BUFALINA</t>
  </si>
  <si>
    <t>Pomodoro, Bufala, Pomodorini pachino, Basilico</t>
  </si>
  <si>
    <t>LARDO&amp;BASILICO</t>
  </si>
  <si>
    <t>Lardo *</t>
  </si>
  <si>
    <t>BOLOGNALMIELE</t>
  </si>
  <si>
    <t>MARINARA ++</t>
  </si>
  <si>
    <t>Aglio</t>
  </si>
  <si>
    <t>NAPOLI</t>
  </si>
  <si>
    <t>Capperi</t>
  </si>
  <si>
    <t>CAPRICCIOSA</t>
  </si>
  <si>
    <t>Olive nere</t>
  </si>
  <si>
    <t>COTTO&amp;FUNGHI</t>
  </si>
  <si>
    <t xml:space="preserve">Cotto </t>
  </si>
  <si>
    <t>CRUDO&amp;FUNGHI</t>
  </si>
  <si>
    <t>FUNGHI</t>
  </si>
  <si>
    <t>SALAME PICCANTE</t>
  </si>
  <si>
    <t>TONNO&amp;CIPOLLA</t>
  </si>
  <si>
    <t>Tonno</t>
  </si>
  <si>
    <t>Cipolla</t>
  </si>
  <si>
    <t>AGLIO&amp;PARMIGIANO</t>
  </si>
  <si>
    <t>BUFALA&amp;PROVOLA</t>
  </si>
  <si>
    <t>TU VO' FA L'AMERIANO</t>
  </si>
  <si>
    <t>Salsa BBQ</t>
  </si>
  <si>
    <t>Uovo marinato *</t>
  </si>
  <si>
    <t>CACIO&amp;PEPE</t>
  </si>
  <si>
    <t>CAPRA PESTA</t>
  </si>
  <si>
    <t>Caprino</t>
  </si>
  <si>
    <t>Pomodori secchi</t>
  </si>
  <si>
    <t>Pesto</t>
  </si>
  <si>
    <t>CAPRINA</t>
  </si>
  <si>
    <t>CONTADINA</t>
  </si>
  <si>
    <t>Brie</t>
  </si>
  <si>
    <t>Confettura di pere</t>
  </si>
  <si>
    <t>MELANGRIGLIO</t>
  </si>
  <si>
    <t>Melanzane grigliate *</t>
  </si>
  <si>
    <t>COTTO&amp;PEPERONI</t>
  </si>
  <si>
    <t>DI LUNEDI</t>
  </si>
  <si>
    <t>Bacon</t>
  </si>
  <si>
    <t>FESTIVA</t>
  </si>
  <si>
    <t xml:space="preserve">Salsa al tartufo </t>
  </si>
  <si>
    <t>GAMBEROROSSO</t>
  </si>
  <si>
    <t>GENIALE</t>
  </si>
  <si>
    <t xml:space="preserve">Confettura di fichi </t>
  </si>
  <si>
    <t>GIALLOROSSA</t>
  </si>
  <si>
    <t>GODURIOSA</t>
  </si>
  <si>
    <t>Feta *</t>
  </si>
  <si>
    <t>GORGOBIANCO</t>
  </si>
  <si>
    <t>GORGOROSSO</t>
  </si>
  <si>
    <t>GRECA</t>
  </si>
  <si>
    <t>MELANZANA</t>
  </si>
  <si>
    <t>Melanzane</t>
  </si>
  <si>
    <t>Ricotta *</t>
  </si>
  <si>
    <t>MELANZANA&amp;PEPERONI</t>
  </si>
  <si>
    <t>Menta *</t>
  </si>
  <si>
    <t>MONTAGNA</t>
  </si>
  <si>
    <t>NOCCIOLATA</t>
  </si>
  <si>
    <t>Nocciole *</t>
  </si>
  <si>
    <t>PALATONDA</t>
  </si>
  <si>
    <t>Burro</t>
  </si>
  <si>
    <t>Salvia</t>
  </si>
  <si>
    <t>PAPPACELLE</t>
  </si>
  <si>
    <t>Pappacelle</t>
  </si>
  <si>
    <t>PATATE&amp;ACCIUGA</t>
  </si>
  <si>
    <t>Patate</t>
  </si>
  <si>
    <t>PATATOSA</t>
  </si>
  <si>
    <t>Crema di patate</t>
  </si>
  <si>
    <t>Dadolata di patate</t>
  </si>
  <si>
    <t>Coralli viola *</t>
  </si>
  <si>
    <t>PEREZENZERO</t>
  </si>
  <si>
    <t>Gamberetti</t>
  </si>
  <si>
    <t>Comp.pere e zenzero *</t>
  </si>
  <si>
    <t>PESTO&amp;PACHINO</t>
  </si>
  <si>
    <t>PICCANTE</t>
  </si>
  <si>
    <t>Cheddar</t>
  </si>
  <si>
    <t>Wurstell</t>
  </si>
  <si>
    <t>Ketchup</t>
  </si>
  <si>
    <t>PROVOLA&amp;PEPE</t>
  </si>
  <si>
    <t>RADICCHIO&amp;LARDO</t>
  </si>
  <si>
    <t>Radicchio</t>
  </si>
  <si>
    <t>RAGU' NAPOLETANO</t>
  </si>
  <si>
    <t>Ragù napoletano</t>
  </si>
  <si>
    <t>SALMONE</t>
  </si>
  <si>
    <t>SALMONE&amp;ZUCCHINE</t>
  </si>
  <si>
    <t>SCAROLA</t>
  </si>
  <si>
    <t>Scarola</t>
  </si>
  <si>
    <t>SCAROLA++</t>
  </si>
  <si>
    <t>STELLE&amp;STRISCE</t>
  </si>
  <si>
    <t>TALEGGIO&amp;FUNGHI</t>
  </si>
  <si>
    <t>TIROLESE</t>
  </si>
  <si>
    <t>Rafano</t>
  </si>
  <si>
    <t>TONNO 2.0</t>
  </si>
  <si>
    <t>Carpaccio di tonno</t>
  </si>
  <si>
    <t>TROPICALE</t>
  </si>
  <si>
    <t>Tartare di Gamberi *</t>
  </si>
  <si>
    <t>ZUCCA&amp;FUNGHI</t>
  </si>
  <si>
    <t>Crema di zucca</t>
  </si>
  <si>
    <t>ZUCCOLA</t>
  </si>
  <si>
    <t>INGREDIENTI (* da aggiungere a crudo dopo la cottura)</t>
  </si>
  <si>
    <t>INGREDIENTE</t>
  </si>
  <si>
    <t>QTA' NECESS. (pizze richieste)</t>
  </si>
  <si>
    <t>Già in casa         (pizze realizzabili)</t>
  </si>
  <si>
    <t>in casa  __</t>
  </si>
  <si>
    <t>DA ACQUISTARE</t>
  </si>
  <si>
    <t>QTA' DA ACQUISTARE (Nro pizze)</t>
  </si>
  <si>
    <t>IN QUANTE PIZZE (totale)</t>
  </si>
  <si>
    <t>Ingredienti delle preparazioni</t>
  </si>
  <si>
    <t>Aggiungi ingrediente</t>
  </si>
  <si>
    <t>0.ingred.vuoto</t>
  </si>
  <si>
    <t>__Pomodoro</t>
  </si>
  <si>
    <t>_Fiordilatte</t>
  </si>
  <si>
    <t>1.Formaggi</t>
  </si>
  <si>
    <t>3.Pesce</t>
  </si>
  <si>
    <t>4.Verdure</t>
  </si>
  <si>
    <t>7.Spezie/Condim.</t>
  </si>
  <si>
    <t>8.Preparazioni</t>
  </si>
  <si>
    <t>2.Salumi</t>
  </si>
  <si>
    <t>5.Scatolame</t>
  </si>
  <si>
    <t>6.Salse</t>
  </si>
  <si>
    <t xml:space="preserve">Zafferano </t>
  </si>
  <si>
    <t>9.Dolci</t>
  </si>
  <si>
    <t>QUANTI INGREDIENTI?</t>
  </si>
  <si>
    <r>
      <rPr>
        <b/>
        <color rgb="FFFFFFFF"/>
        <sz val="12.0"/>
      </rPr>
      <t>ADESSO PREPARIAMO</t>
    </r>
    <r>
      <rPr>
        <b/>
        <color rgb="FFFFFFFF"/>
        <sz val="12.0"/>
      </rPr>
      <t>..</t>
    </r>
  </si>
  <si>
    <t>Q.TA'</t>
  </si>
  <si>
    <t>PREPARAZIONE</t>
  </si>
  <si>
    <t>RICETTE DEI PREPARATI SPECIALI</t>
  </si>
  <si>
    <t>INGREDIENTI</t>
  </si>
  <si>
    <t>Aggiungi ricetta</t>
  </si>
  <si>
    <t>Tuorlo d'uovo e latte in stessa quantità cuocere in microonde fino a rassodamento. Poi stracciare</t>
  </si>
  <si>
    <t>Uova, Latte</t>
  </si>
  <si>
    <t>bollire le patate viola intere senza buccia, dopodiché congelare e una volta raggiunta la temperatura ideale, grattugiare su dì un foglio dì carta forno e cuocere a 60/70 gradi</t>
  </si>
  <si>
    <t>Patate viola</t>
  </si>
  <si>
    <t>https://ricette.giallozafferano.it/Baccala-mantecato-alla-veneziana.html</t>
  </si>
  <si>
    <t>Stoccafisso ammollato, Alloro, Prezzemolo</t>
  </si>
  <si>
    <t>https://www.google.com/amp/s/www.cucchiaio.it/ricetta/cipolle-rosse-caramellate.amp.html</t>
  </si>
  <si>
    <t>Cipolle Tropea, Zucchero di canna</t>
  </si>
  <si>
    <t>https://ricette.giallozafferano.it/Pomodori-confit.html</t>
  </si>
  <si>
    <t>Pomodorini, Zucchero di canna, Worchester, Tabasco</t>
  </si>
  <si>
    <t>https://www.youtube.com/watch?v=WUBtcW7L540</t>
  </si>
  <si>
    <t>Polpa di pomodoro, cipolla, carote, aglio</t>
  </si>
  <si>
    <t>soffriggere nell’olio il sedano, la carota e la cipolla, unire le patate a pasta gialla e cuocere fino a quando diventano tenere.</t>
  </si>
  <si>
    <t>Sedano, Carota, Cipolla, Patate</t>
  </si>
  <si>
    <t>https://blog.giallozafferano.it/allacciateilgrembiule/patate-a-fette-in-padella/</t>
  </si>
  <si>
    <t>Patate, Aglio, Rosmarino</t>
  </si>
  <si>
    <t>Bollire il cavolo nero dopo averlo privato della costa centrale. Poi ripassare in padella con aglio, olio e peperoncino</t>
  </si>
  <si>
    <t>Cavolo nero, Aglio, Peperoncino</t>
  </si>
  <si>
    <t>soffriggere nell’olio il sedano, la carota e la cipolla, unire le patate viola e cuocere fino a quando diventano tenere.</t>
  </si>
  <si>
    <t>https://ricette.giallozafferano.it/Vellutata-di-zucchine.html</t>
  </si>
  <si>
    <t>Zucchine, Porri, Panna</t>
  </si>
  <si>
    <t>Frullare il tutto a crudo</t>
  </si>
  <si>
    <t>Pomodori secchi, Olio, Aglio, Peperoncino, Origano, Timo, Capperi</t>
  </si>
  <si>
    <t>https://blog.giallozafferano.it/pasticcidigiu/ricetta-penne-con-crema-di-friarielli-e-salsiccia/</t>
  </si>
  <si>
    <t>100 gr di farina di castagne, 1 bicchiere di latte e 1 di acqua, sale, pepe, olio. Mettere sul fuoco molto basso fino a che si forma una crema morbida.</t>
  </si>
  <si>
    <t>Farina di castagne, Latte</t>
  </si>
  <si>
    <t>https://blog.giallozafferano.it/cucinanonnalina/crema-di-ceci-ricetta-veloce-e-economica/</t>
  </si>
  <si>
    <t>Ceci, Rosmarino</t>
  </si>
  <si>
    <t>https://www.misya.info/ricetta/crema-alle-barbabietole.htm</t>
  </si>
  <si>
    <t>Barbabietola, Yogurt o Latte</t>
  </si>
  <si>
    <t>friggerele patate a pasta gialla tagliate a piccoli cubetti (anche friggitrice ad aria).</t>
  </si>
  <si>
    <t>https://ricette.giallozafferano.it/Guacamole.html</t>
  </si>
  <si>
    <t>Avocado, Lime</t>
  </si>
  <si>
    <t>frullare mango con olio, sale, pepe e (opzionale) senape</t>
  </si>
  <si>
    <t>Mango, Senape</t>
  </si>
  <si>
    <t>https://www.youtube.com/watch?v=guCAaGCH_Mc</t>
  </si>
  <si>
    <t>Arancia, Limone, Zucchero, AgarAgar</t>
  </si>
  <si>
    <t>Pulire gamberi, unire lime, menta, cocco, kiwi, sale e pepe</t>
  </si>
  <si>
    <t>Gamberi, Lime, Menta, Cocco, Kiwi</t>
  </si>
  <si>
    <t>https://ricette.giallozafferano.it/Confettura-pere-e-zenzero.html</t>
  </si>
  <si>
    <t>Pere, Zucchero di canna, Zenzero, Limone</t>
  </si>
  <si>
    <t>https://www.tavolartegusto.it/ricetta/pesto-di-pistacchio-ricetta/</t>
  </si>
  <si>
    <t>Pistacchi, Parmigiano, Basilico</t>
  </si>
  <si>
    <t>https://www.lacucinaitaliana.it/article/vellutata-di-piselli-ricetta-facile-cremosa-leggera/</t>
  </si>
  <si>
    <t>Piselli, Panna, cipolla o cipollotto</t>
  </si>
  <si>
    <t>https://blog.giallozafferano.it/melogranierose/crema-di-pecorino-per-condire-o-spalmare/</t>
  </si>
  <si>
    <t>Pecorino, Burro, Latte, Farina</t>
  </si>
  <si>
    <t>https://blog.giallozafferano.it/neltegamesulfuoco/baccala-in-oliocottura-in-vasocottura/</t>
  </si>
  <si>
    <t>Baccalà, Prezzemolo</t>
  </si>
  <si>
    <t>https://www.cookaround.com/ricetta/petto-d-anatra-all-arancia.html</t>
  </si>
  <si>
    <t>Anatra, Arancia, Miele, Burro, Timo</t>
  </si>
  <si>
    <t>https://ricette.giallozafferano.it/Stracotto-di-manzo.html</t>
  </si>
  <si>
    <t>Carne, Brodo di carne, Vino rosso, Aglio, Cipolla, Carota, Sedano</t>
  </si>
  <si>
    <t>https://ricette.giallozafferano.it/Paella-de-marisco.html</t>
  </si>
  <si>
    <t>Gamberi, Scampi, Calamari, Cozze, Zafferano, Paprika dolce</t>
  </si>
  <si>
    <t>Grigliare a fette verticali sottili</t>
  </si>
  <si>
    <t>https://blog.giallozafferano.it/piovonoricette/ricetta-finocchi-grigliati/</t>
  </si>
  <si>
    <t>Finocchi</t>
  </si>
  <si>
    <t>https://www.nonnapaperina.it/2015/09/emulsione-allaglio-nero-salsa/</t>
  </si>
  <si>
    <t>Aglio nero</t>
  </si>
  <si>
    <t>Frullare melone e aggiungere olio per emulsionare. Aggiustare di sale e pepe</t>
  </si>
  <si>
    <t>Melone</t>
  </si>
  <si>
    <t>https://blog.giallozafferano.it/cucinaconsara/tartare-di-fassona-piemontese/</t>
  </si>
  <si>
    <t>Fassona (o Chianina), Limone, Parmigiano</t>
  </si>
  <si>
    <t>https://blog.giallozafferano.it/cioccovaniglia/tataki-di-tonno/</t>
  </si>
  <si>
    <t>Filetti di tonno, Semi di Sesamo, Salsa di Soia, Miele, Zenzero</t>
  </si>
  <si>
    <t>marinatura: Salsa di soia, Aceto balsamico, Zenzero, Peperoncino</t>
  </si>
  <si>
    <t>Carpaccio di manzo, Salsa di soia, Aceto Balsamico, Zenzero, Peperoncino</t>
  </si>
  <si>
    <t>https://ricette.giallozafferano.it/Pesto-di-rucola.html</t>
  </si>
  <si>
    <t>Rucola, Pinoli, Pecorino, Parmigiano</t>
  </si>
  <si>
    <t>Uova, Sale</t>
  </si>
  <si>
    <t>https://ricette.giallozafferano.it/Aioli.html</t>
  </si>
  <si>
    <t>Uova, Olio arachidi, Aglio, Limone, Sale</t>
  </si>
  <si>
    <t>https://ricette.giallozafferano.it/Pizzoccheri-alla-valtellinese.html</t>
  </si>
  <si>
    <t>Patate, Verza, Burro, Aglio, Parmigiano</t>
  </si>
  <si>
    <t>Farina Grano saraceno, Farina 00</t>
  </si>
  <si>
    <t>https://blog.giallozafferano.it/cucinoperpassione/maionese-al-wasabi/</t>
  </si>
  <si>
    <t>Uova, Olio, Wasabi, Limone</t>
  </si>
  <si>
    <t>Uova, Olio, Aglio, Limone</t>
  </si>
  <si>
    <t>https://blog.giallozafferano.it/crisemaxincucina/ananas-caramellato/</t>
  </si>
  <si>
    <t>Ananas, Burro, Zucchero di canna</t>
  </si>
  <si>
    <t>Numero palline</t>
  </si>
  <si>
    <t>Peso</t>
  </si>
  <si>
    <t>Idratazione %</t>
  </si>
  <si>
    <t>Sale (per litro di acqua)</t>
  </si>
  <si>
    <t>livitazione in frigo</t>
  </si>
  <si>
    <t>Lievitazione fuori frigo</t>
  </si>
  <si>
    <t>Temp.ambiente</t>
  </si>
  <si>
    <t>Farina</t>
  </si>
  <si>
    <t>Acqua</t>
  </si>
  <si>
    <t>Sale</t>
  </si>
  <si>
    <t>Lievito</t>
  </si>
  <si>
    <t>BIGA + AUTOLISI</t>
  </si>
  <si>
    <t>QTA/TOT</t>
  </si>
  <si>
    <t>IDRO</t>
  </si>
  <si>
    <t>TEMPO IMPASTO / NOTE</t>
  </si>
  <si>
    <t>RIPOSO SUCCESSIVO</t>
  </si>
  <si>
    <t>Fase 1 - mattina precedente</t>
  </si>
  <si>
    <t>PREIMP(BIGA)</t>
  </si>
  <si>
    <t>farina W320/340</t>
  </si>
  <si>
    <t>3 min a mano direttamente in vasca larga (straccetti)</t>
  </si>
  <si>
    <t xml:space="preserve">Prime 4 ore ambiente, poi frigo </t>
  </si>
  <si>
    <t>acqua</t>
  </si>
  <si>
    <t>temp.ambiente</t>
  </si>
  <si>
    <t>lievito</t>
  </si>
  <si>
    <t>Fase 2 - mattina del giorno stesso</t>
  </si>
  <si>
    <t>AUTOLISI</t>
  </si>
  <si>
    <t>farina W 270/290</t>
  </si>
  <si>
    <t>3 min impastatrice</t>
  </si>
  <si>
    <t>30 minuti AMBIENTE</t>
  </si>
  <si>
    <t>fredda</t>
  </si>
  <si>
    <t>IMPASTO FINALE</t>
  </si>
  <si>
    <t>biga+autolisi</t>
  </si>
  <si>
    <t>Impastatrice</t>
  </si>
  <si>
    <t>40 minuti AMBIENTE (20 se estate)</t>
  </si>
  <si>
    <t>acqua (subito)</t>
  </si>
  <si>
    <t>acqua (a filo)</t>
  </si>
  <si>
    <t>con riposi se impasto supera 22°</t>
  </si>
  <si>
    <t>sale</t>
  </si>
  <si>
    <t>a 3 minuti dalla fine</t>
  </si>
  <si>
    <t>STAGLIO</t>
  </si>
  <si>
    <t>staglio</t>
  </si>
  <si>
    <t>FRIGO FINO A INFORNARE</t>
  </si>
  <si>
    <t>POOLISH</t>
  </si>
  <si>
    <t>Fase 1 - primo pomeriggio giorno precedente</t>
  </si>
  <si>
    <t xml:space="preserve">pastella a mano in ciotola </t>
  </si>
  <si>
    <t>18 ore AMBIENTE (coperto)</t>
  </si>
  <si>
    <t>Fase 2 - mattina del giorno di pizzata</t>
  </si>
  <si>
    <t>Poolish</t>
  </si>
  <si>
    <t>impastatrice</t>
  </si>
  <si>
    <t>farina</t>
  </si>
  <si>
    <t>Raddoppio, poi FRIGO FINO A INFORNARE</t>
  </si>
  <si>
    <t>FARINE</t>
  </si>
  <si>
    <t xml:space="preserve">NUVOLA </t>
  </si>
  <si>
    <t>W270/290</t>
  </si>
  <si>
    <t>NUVOLA SUPER</t>
  </si>
  <si>
    <t>W320/340</t>
  </si>
  <si>
    <t>(per preimpasto-biga)</t>
  </si>
  <si>
    <t>Molino Rossetto ROSSA</t>
  </si>
  <si>
    <t>W340</t>
  </si>
  <si>
    <t>0Da fareDa fareDa fare</t>
  </si>
  <si>
    <t>TEST PIZZE "CLASSICHE"</t>
  </si>
  <si>
    <t>CALABRESE</t>
  </si>
  <si>
    <t>SALAMINO PICCANTE</t>
  </si>
  <si>
    <t>Vanna, Mauro, Edoardo</t>
  </si>
  <si>
    <t>Eva e Luca</t>
  </si>
  <si>
    <t>Giulio, Alessandra, Roberto, XXX</t>
  </si>
  <si>
    <t>MIT:  Fabrizio, Bruno, Michelangelo, Antonio, Alberto, Simone, Fabio, Alessio, Matteo, Diego, Giada, Manuela, Daiana, Gessica, Camilla, Andrea, Roberto, Sandra, Bianca</t>
  </si>
  <si>
    <t>Capitanini</t>
  </si>
  <si>
    <t>Eva,Luca,Lori,Pasquale</t>
  </si>
  <si>
    <t>Roberto, Gaia, Tart&amp;Sra</t>
  </si>
  <si>
    <t>Stefania,Andrea, Alex</t>
  </si>
  <si>
    <t>Giulio, Alessandra, Claudio, Stefania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</si>
</sst>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"/>
    <numFmt numFmtId="165" formatCode="#.00"/>
  </numFmts>
  <fonts count="50">
    <font>
      <sz val="10.0"/>
      <color rgb="FF000000"/>
      <name val="Arial"/>
      <scheme val="minor"/>
    </font>
    <font>
      <color rgb="FFFFFFFF"/>
      <name val="Arial"/>
    </font>
    <font>
      <b/>
      <color rgb="FFFFFFFF"/>
      <name val="Arial"/>
    </font>
    <font>
      <color theme="1"/>
      <name val="Arial"/>
    </font>
    <font>
      <sz val="10.0"/>
      <color theme="1"/>
      <name val="Roboto"/>
    </font>
    <font/>
    <font>
      <sz val="8.0"/>
      <color theme="1"/>
      <name val="Arial"/>
    </font>
    <font>
      <b/>
      <color theme="1"/>
      <name val="Arial"/>
    </font>
    <font>
      <b/>
      <sz val="8.0"/>
      <color theme="1"/>
      <name val="Arial"/>
    </font>
    <font>
      <b/>
      <sz val="13.0"/>
      <color theme="1"/>
      <name val="Arial"/>
    </font>
    <font>
      <b/>
      <sz val="12.0"/>
      <color theme="1"/>
      <name val="Roboto"/>
    </font>
    <font>
      <b/>
      <sz val="11.0"/>
      <color theme="1"/>
      <name val="Roboto"/>
    </font>
    <font>
      <sz val="9.0"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FF0000"/>
      <name val="Arial"/>
      <scheme val="minor"/>
    </font>
    <font>
      <color theme="1"/>
      <name val="Roboto"/>
    </font>
    <font>
      <sz val="9.0"/>
      <color rgb="FF000000"/>
      <name val="Arial"/>
      <scheme val="minor"/>
    </font>
    <font>
      <color rgb="FFFFFFFF"/>
      <name val="Roboto"/>
    </font>
    <font>
      <sz val="14.0"/>
      <color rgb="FFFFFFFF"/>
      <name val="Roboto Slab"/>
    </font>
    <font>
      <sz val="11.0"/>
      <color theme="1"/>
      <name val="Inconsolata"/>
    </font>
    <font>
      <sz val="10.0"/>
      <color theme="1"/>
      <name val="Inconsolata"/>
    </font>
    <font>
      <b/>
      <sz val="11.0"/>
      <color theme="1"/>
      <name val="Inconsolata"/>
    </font>
    <font>
      <sz val="11.0"/>
      <color rgb="FF000000"/>
      <name val="Inconsolata"/>
    </font>
    <font>
      <sz val="12.0"/>
      <color rgb="FF202124"/>
      <name val="Roboto"/>
    </font>
    <font>
      <b/>
      <sz val="11.0"/>
      <color rgb="FF000000"/>
      <name val="Inconsolata"/>
    </font>
    <font>
      <b/>
      <sz val="12.0"/>
      <color theme="1"/>
      <name val="Arial"/>
    </font>
    <font>
      <b/>
      <color theme="1"/>
      <name val="Arial"/>
      <scheme val="minor"/>
    </font>
    <font>
      <b/>
      <sz val="12.0"/>
      <color rgb="FFFFFFFF"/>
      <name val="Arial"/>
    </font>
    <font>
      <b/>
      <u/>
      <sz val="12.0"/>
      <color rgb="FFFFFFFF"/>
    </font>
    <font>
      <b/>
      <sz val="18.0"/>
      <color theme="1"/>
      <name val="Arial"/>
    </font>
    <font>
      <b/>
      <sz val="36.0"/>
      <color theme="1"/>
      <name val="Arial"/>
    </font>
    <font>
      <b/>
      <sz val="36.0"/>
      <color rgb="FFFFFFFF"/>
      <name val="Roboto"/>
    </font>
    <font>
      <b/>
      <sz val="24.0"/>
      <color rgb="FF000000"/>
      <name val="Roboto"/>
    </font>
    <font>
      <color rgb="FF000000"/>
      <name val="Arial"/>
    </font>
    <font>
      <b/>
      <sz val="16.0"/>
      <color theme="1"/>
      <name val="Arial"/>
    </font>
    <font>
      <sz val="14.0"/>
      <color theme="1"/>
      <name val="Arial"/>
    </font>
    <font>
      <sz val="11.0"/>
      <color rgb="FF333333"/>
      <name val="Arial"/>
      <scheme val="minor"/>
    </font>
    <font>
      <u/>
      <sz val="11.0"/>
      <color rgb="FF0000FF"/>
      <name val="Roboto"/>
    </font>
    <font>
      <sz val="11.0"/>
      <color theme="1"/>
      <name val="Arial"/>
      <scheme val="minor"/>
    </font>
    <font>
      <u/>
      <sz val="11.0"/>
      <color rgb="FF0000FF"/>
      <name val="Arial"/>
    </font>
    <font>
      <sz val="11.0"/>
      <color theme="1"/>
      <name val="Arial"/>
    </font>
    <font>
      <u/>
      <sz val="11.0"/>
      <color rgb="FF0000FF"/>
      <name val="Roboto"/>
    </font>
    <font>
      <u/>
      <sz val="11.0"/>
      <color rgb="FF333333"/>
      <name val="Roboto"/>
    </font>
    <font>
      <u/>
      <sz val="11.0"/>
      <color rgb="FF0000FF"/>
      <name val="Roboto"/>
    </font>
    <font>
      <sz val="11.0"/>
      <color rgb="FF000000"/>
      <name val="Arial"/>
      <scheme val="minor"/>
    </font>
    <font>
      <u/>
      <sz val="11.0"/>
      <color rgb="FF0000FF"/>
      <name val="Roboto"/>
    </font>
    <font>
      <sz val="11.0"/>
      <color rgb="FF000000"/>
      <name val="Roboto"/>
    </font>
    <font>
      <b/>
      <sz val="14.0"/>
      <color rgb="FFFFFFFF"/>
      <name val="Arial"/>
    </font>
    <font>
      <b/>
      <i/>
      <sz val="12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DFDC1"/>
        <bgColor rgb="FFFDFDC1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1" numFmtId="0" xfId="0" applyFont="1"/>
    <xf borderId="0" fillId="2" fontId="1" numFmtId="0" xfId="0" applyAlignment="1" applyFont="1">
      <alignment shrinkToFit="0" wrapText="1"/>
    </xf>
    <xf borderId="0" fillId="2" fontId="2" numFmtId="0" xfId="0" applyAlignment="1" applyFont="1">
      <alignment horizontal="center" shrinkToFit="0" wrapText="1"/>
    </xf>
    <xf borderId="0" fillId="2" fontId="2" numFmtId="0" xfId="0" applyAlignment="1" applyFont="1">
      <alignment horizontal="center" readingOrder="0" shrinkToFit="0" wrapText="1"/>
    </xf>
    <xf borderId="0" fillId="0" fontId="3" numFmtId="0" xfId="0" applyFont="1"/>
    <xf borderId="1" fillId="3" fontId="3" numFmtId="0" xfId="0" applyAlignment="1" applyBorder="1" applyFill="1" applyFont="1">
      <alignment horizontal="left" readingOrder="0" vertical="center"/>
    </xf>
    <xf borderId="1" fillId="3" fontId="3" numFmtId="0" xfId="0" applyAlignment="1" applyBorder="1" applyFont="1">
      <alignment horizontal="left" readingOrder="0" shrinkToFit="0" vertical="top" wrapText="1"/>
    </xf>
    <xf borderId="2" fillId="0" fontId="4" numFmtId="0" xfId="0" applyAlignment="1" applyBorder="1" applyFont="1">
      <alignment readingOrder="0"/>
    </xf>
    <xf borderId="3" fillId="0" fontId="5" numFmtId="0" xfId="0" applyBorder="1" applyFont="1"/>
    <xf borderId="4" fillId="0" fontId="5" numFmtId="0" xfId="0" applyBorder="1" applyFont="1"/>
    <xf borderId="0" fillId="0" fontId="3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4" fontId="10" numFmtId="0" xfId="0" applyAlignment="1" applyFill="1" applyFont="1">
      <alignment horizontal="center" readingOrder="0" shrinkToFit="0" vertical="center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4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0" fontId="12" numFmtId="0" xfId="0" applyAlignment="1" applyFont="1">
      <alignment readingOrder="0" shrinkToFit="0" vertical="bottom" wrapText="0"/>
    </xf>
    <xf borderId="0" fillId="0" fontId="13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3" numFmtId="0" xfId="0" applyAlignment="1" applyFont="1">
      <alignment horizontal="center" shrinkToFit="0" vertical="center" wrapText="0"/>
    </xf>
    <xf borderId="0" fillId="0" fontId="14" numFmtId="0" xfId="0" applyAlignment="1" applyFont="1">
      <alignment horizontal="left" readingOrder="0" shrinkToFit="0" vertical="center" wrapText="0"/>
    </xf>
    <xf borderId="0" fillId="0" fontId="15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/>
    </xf>
    <xf borderId="0" fillId="0" fontId="16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5" fontId="17" numFmtId="0" xfId="0" applyAlignment="1" applyFill="1" applyFont="1">
      <alignment horizontal="left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3" numFmtId="0" xfId="0" applyAlignment="1" applyFont="1">
      <alignment vertical="bottom"/>
    </xf>
    <xf borderId="0" fillId="4" fontId="10" numFmtId="0" xfId="0" applyAlignment="1" applyFont="1">
      <alignment horizontal="center" shrinkToFit="0" vertical="center" wrapText="0"/>
    </xf>
    <xf borderId="0" fillId="2" fontId="18" numFmtId="0" xfId="0" applyAlignment="1" applyFont="1">
      <alignment horizontal="center"/>
    </xf>
    <xf borderId="0" fillId="2" fontId="19" numFmtId="0" xfId="0" applyAlignment="1" applyFont="1">
      <alignment horizontal="center"/>
    </xf>
    <xf borderId="0" fillId="2" fontId="19" numFmtId="0" xfId="0" applyAlignment="1" applyFont="1">
      <alignment horizontal="left"/>
    </xf>
    <xf borderId="0" fillId="0" fontId="1" numFmtId="0" xfId="0" applyFont="1"/>
    <xf borderId="0" fillId="0" fontId="10" numFmtId="0" xfId="0" applyAlignment="1" applyFont="1">
      <alignment horizontal="center"/>
    </xf>
    <xf borderId="0" fillId="0" fontId="10" numFmtId="164" xfId="0" applyAlignment="1" applyFont="1" applyNumberFormat="1">
      <alignment horizontal="center"/>
    </xf>
    <xf borderId="0" fillId="0" fontId="4" numFmtId="0" xfId="0" applyFont="1"/>
    <xf borderId="0" fillId="0" fontId="3" numFmtId="0" xfId="0" applyAlignment="1" applyFont="1">
      <alignment horizontal="center"/>
    </xf>
    <xf borderId="0" fillId="0" fontId="20" numFmtId="0" xfId="0" applyAlignment="1" applyFont="1">
      <alignment horizontal="center" readingOrder="0" shrinkToFit="0" vertical="center" wrapText="0"/>
    </xf>
    <xf borderId="0" fillId="0" fontId="21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0" fillId="3" fontId="13" numFmtId="0" xfId="0" applyAlignment="1" applyFont="1">
      <alignment readingOrder="0" shrinkToFit="0" vertical="top" wrapText="1"/>
    </xf>
    <xf borderId="0" fillId="5" fontId="23" numFmtId="164" xfId="0" applyAlignment="1" applyFont="1" applyNumberFormat="1">
      <alignment shrinkToFit="0" vertical="center" wrapText="0"/>
    </xf>
    <xf borderId="0" fillId="5" fontId="24" numFmtId="0" xfId="0" applyAlignment="1" applyFont="1">
      <alignment shrinkToFit="0" vertical="center" wrapText="0"/>
    </xf>
    <xf borderId="0" fillId="5" fontId="25" numFmtId="164" xfId="0" applyAlignment="1" applyFont="1" applyNumberFormat="1">
      <alignment horizontal="center" shrinkToFit="0" vertical="center" wrapText="0"/>
    </xf>
    <xf borderId="0" fillId="4" fontId="3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5" fontId="25" numFmtId="49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4" fontId="26" numFmtId="0" xfId="0" applyAlignment="1" applyFont="1">
      <alignment horizontal="center" readingOrder="0" shrinkToFit="0" vertical="center" wrapText="0"/>
    </xf>
    <xf borderId="0" fillId="5" fontId="22" numFmtId="164" xfId="0" applyAlignment="1" applyFont="1" applyNumberFormat="1">
      <alignment shrinkToFit="0" vertical="bottom" wrapText="0"/>
    </xf>
    <xf borderId="0" fillId="5" fontId="24" numFmtId="0" xfId="0" applyAlignment="1" applyFont="1">
      <alignment readingOrder="0" shrinkToFit="0" vertical="center" wrapText="0"/>
    </xf>
    <xf borderId="0" fillId="4" fontId="10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bottom" wrapText="0"/>
    </xf>
    <xf borderId="0" fillId="5" fontId="24" numFmtId="0" xfId="0" applyAlignment="1" applyFont="1">
      <alignment readingOrder="0" shrinkToFit="0" vertical="bottom" wrapText="0"/>
    </xf>
    <xf borderId="0" fillId="5" fontId="24" numFmtId="0" xfId="0" applyAlignment="1" applyFont="1">
      <alignment shrinkToFit="0" vertical="bottom" wrapText="0"/>
    </xf>
    <xf borderId="0" fillId="4" fontId="26" numFmtId="0" xfId="0" applyAlignment="1" applyFont="1">
      <alignment horizontal="center" shrinkToFit="0" vertical="center" wrapText="0"/>
    </xf>
    <xf borderId="0" fillId="2" fontId="1" numFmtId="0" xfId="0" applyAlignment="1" applyFont="1">
      <alignment vertical="center"/>
    </xf>
    <xf borderId="0" fillId="2" fontId="1" numFmtId="0" xfId="0" applyAlignment="1" applyFont="1">
      <alignment horizontal="center" vertical="center"/>
    </xf>
    <xf borderId="0" fillId="2" fontId="2" numFmtId="0" xfId="0" applyAlignment="1" applyFont="1">
      <alignment vertical="center"/>
    </xf>
    <xf borderId="0" fillId="0" fontId="7" numFmtId="0" xfId="0" applyAlignment="1" applyFont="1">
      <alignment horizontal="center"/>
    </xf>
    <xf borderId="0" fillId="0" fontId="27" numFmtId="0" xfId="0" applyFont="1"/>
    <xf borderId="0" fillId="0" fontId="13" numFmtId="0" xfId="0" applyAlignment="1" applyFont="1">
      <alignment horizontal="center"/>
    </xf>
    <xf borderId="0" fillId="0" fontId="28" numFmtId="0" xfId="0" applyAlignment="1" applyFont="1">
      <alignment horizontal="center"/>
    </xf>
    <xf borderId="0" fillId="2" fontId="29" numFmtId="0" xfId="0" applyAlignment="1" applyFont="1">
      <alignment horizontal="left"/>
    </xf>
    <xf borderId="0" fillId="2" fontId="28" numFmtId="0" xfId="0" applyAlignment="1" applyFont="1">
      <alignment horizontal="left"/>
    </xf>
    <xf borderId="0" fillId="0" fontId="30" numFmtId="0" xfId="0" applyAlignment="1" applyFont="1">
      <alignment horizontal="center"/>
    </xf>
    <xf borderId="0" fillId="4" fontId="31" numFmtId="0" xfId="0" applyAlignment="1" applyFont="1">
      <alignment horizontal="center" readingOrder="0"/>
    </xf>
    <xf borderId="0" fillId="4" fontId="30" numFmtId="0" xfId="0" applyAlignment="1" applyFont="1">
      <alignment horizontal="center"/>
    </xf>
    <xf borderId="0" fillId="6" fontId="32" numFmtId="0" xfId="0" applyFill="1" applyFont="1"/>
    <xf borderId="0" fillId="5" fontId="33" numFmtId="0" xfId="0" applyFont="1"/>
    <xf borderId="0" fillId="7" fontId="34" numFmtId="0" xfId="0" applyAlignment="1" applyFill="1" applyFont="1">
      <alignment horizontal="center"/>
    </xf>
    <xf borderId="0" fillId="7" fontId="3" numFmtId="0" xfId="0" applyFont="1"/>
    <xf borderId="0" fillId="7" fontId="3" numFmtId="0" xfId="0" applyAlignment="1" applyFont="1">
      <alignment readingOrder="0"/>
    </xf>
    <xf borderId="0" fillId="7" fontId="2" numFmtId="0" xfId="0" applyAlignment="1" applyFont="1">
      <alignment horizontal="center"/>
    </xf>
    <xf borderId="0" fillId="7" fontId="3" numFmtId="0" xfId="0" applyAlignment="1" applyFont="1">
      <alignment horizontal="center"/>
    </xf>
    <xf borderId="0" fillId="0" fontId="35" numFmtId="0" xfId="0" applyAlignment="1" applyFont="1">
      <alignment horizontal="left" readingOrder="0" shrinkToFit="0" vertical="center" wrapText="0"/>
    </xf>
    <xf borderId="0" fillId="0" fontId="35" numFmtId="0" xfId="0" applyAlignment="1" applyFont="1">
      <alignment horizontal="left" readingOrder="0" shrinkToFit="0" vertical="center" wrapText="0"/>
    </xf>
    <xf borderId="0" fillId="3" fontId="13" numFmtId="0" xfId="0" applyAlignment="1" applyFont="1">
      <alignment readingOrder="0" vertical="top"/>
    </xf>
    <xf borderId="0" fillId="0" fontId="36" numFmtId="0" xfId="0" applyAlignment="1" applyFont="1">
      <alignment readingOrder="0" shrinkToFit="0" vertical="top" wrapText="0"/>
    </xf>
    <xf borderId="0" fillId="5" fontId="37" numFmtId="0" xfId="0" applyAlignment="1" applyFont="1">
      <alignment shrinkToFit="0" vertical="center" wrapText="1"/>
    </xf>
    <xf borderId="0" fillId="5" fontId="37" numFmtId="0" xfId="0" applyAlignment="1" applyFont="1">
      <alignment readingOrder="0" shrinkToFit="0" vertical="center" wrapText="1"/>
    </xf>
    <xf borderId="0" fillId="0" fontId="36" numFmtId="0" xfId="0" applyAlignment="1" applyFont="1">
      <alignment shrinkToFit="0" vertical="top" wrapText="0"/>
    </xf>
    <xf borderId="0" fillId="0" fontId="38" numFmtId="0" xfId="0" applyAlignment="1" applyFont="1">
      <alignment shrinkToFit="0" vertical="center" wrapText="1"/>
    </xf>
    <xf borderId="0" fillId="0" fontId="39" numFmtId="0" xfId="0" applyAlignment="1" applyFont="1">
      <alignment readingOrder="0" shrinkToFit="0" vertical="center" wrapText="1"/>
    </xf>
    <xf borderId="0" fillId="0" fontId="40" numFmtId="0" xfId="0" applyAlignment="1" applyFont="1">
      <alignment readingOrder="0" shrinkToFit="0" vertical="bottom" wrapText="1"/>
    </xf>
    <xf borderId="0" fillId="0" fontId="41" numFmtId="0" xfId="0" applyAlignment="1" applyFont="1">
      <alignment readingOrder="0" shrinkToFit="0" vertical="bottom" wrapText="1"/>
    </xf>
    <xf borderId="0" fillId="0" fontId="42" numFmtId="0" xfId="0" applyAlignment="1" applyFont="1">
      <alignment readingOrder="0" shrinkToFit="0" vertical="center" wrapText="1"/>
    </xf>
    <xf borderId="0" fillId="5" fontId="43" numFmtId="0" xfId="0" applyAlignment="1" applyFont="1">
      <alignment readingOrder="0" shrinkToFit="0" vertical="center" wrapText="1"/>
    </xf>
    <xf borderId="0" fillId="5" fontId="37" numFmtId="0" xfId="0" applyAlignment="1" applyFont="1">
      <alignment shrinkToFit="0" vertical="center" wrapText="0"/>
    </xf>
    <xf borderId="0" fillId="5" fontId="37" numFmtId="0" xfId="0" applyAlignment="1" applyFont="1">
      <alignment readingOrder="0" shrinkToFit="0" vertical="center" wrapText="0"/>
    </xf>
    <xf borderId="0" fillId="0" fontId="44" numFmtId="0" xfId="0" applyAlignment="1" applyFont="1">
      <alignment shrinkToFit="0" vertical="center" wrapText="0"/>
    </xf>
    <xf borderId="0" fillId="0" fontId="39" numFmtId="0" xfId="0" applyAlignment="1" applyFont="1">
      <alignment readingOrder="0" shrinkToFit="0" vertical="center" wrapText="0"/>
    </xf>
    <xf borderId="0" fillId="0" fontId="45" numFmtId="0" xfId="0" applyAlignment="1" applyFont="1">
      <alignment readingOrder="0" shrinkToFit="0" vertical="center" wrapText="0"/>
    </xf>
    <xf borderId="0" fillId="0" fontId="46" numFmtId="0" xfId="0" applyAlignment="1" applyFont="1">
      <alignment readingOrder="0" shrinkToFit="0" vertical="center" wrapText="0"/>
    </xf>
    <xf borderId="0" fillId="0" fontId="39" numFmtId="0" xfId="0" applyAlignment="1" applyFont="1">
      <alignment readingOrder="0" shrinkToFit="0" vertical="center" wrapText="0"/>
    </xf>
    <xf borderId="0" fillId="0" fontId="45" numFmtId="0" xfId="0" applyAlignment="1" applyFont="1">
      <alignment readingOrder="0" shrinkToFit="0" vertical="center" wrapText="0"/>
    </xf>
    <xf borderId="0" fillId="0" fontId="47" numFmtId="0" xfId="0" applyAlignment="1" applyFont="1">
      <alignment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7" fontId="7" numFmtId="0" xfId="0" applyAlignment="1" applyFont="1">
      <alignment horizontal="center"/>
    </xf>
    <xf borderId="0" fillId="8" fontId="48" numFmtId="164" xfId="0" applyAlignment="1" applyFill="1" applyFont="1" applyNumberFormat="1">
      <alignment horizontal="center"/>
    </xf>
    <xf borderId="0" fillId="8" fontId="48" numFmtId="4" xfId="0" applyAlignment="1" applyFont="1" applyNumberFormat="1">
      <alignment horizontal="center"/>
    </xf>
    <xf borderId="0" fillId="2" fontId="2" numFmtId="0" xfId="0" applyFont="1"/>
    <xf borderId="0" fillId="2" fontId="2" numFmtId="0" xfId="0" applyAlignment="1" applyFont="1">
      <alignment horizontal="center"/>
    </xf>
    <xf borderId="0" fillId="0" fontId="49" numFmtId="0" xfId="0" applyFont="1"/>
    <xf borderId="0" fillId="0" fontId="3" numFmtId="9" xfId="0" applyAlignment="1" applyFont="1" applyNumberFormat="1">
      <alignment horizontal="center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shrinkToFit="0" wrapText="1"/>
    </xf>
    <xf borderId="0" fillId="0" fontId="3" numFmtId="9" xfId="0" applyAlignment="1" applyFont="1" applyNumberFormat="1">
      <alignment horizontal="center" shrinkToFit="0" wrapText="1"/>
    </xf>
    <xf borderId="0" fillId="8" fontId="48" numFmtId="165" xfId="0" applyAlignment="1" applyFont="1" applyNumberFormat="1">
      <alignment horizontal="center"/>
    </xf>
    <xf borderId="0" fillId="0" fontId="3" numFmtId="9" xfId="0" applyFont="1" applyNumberFormat="1"/>
    <xf borderId="0" fillId="0" fontId="13" numFmtId="0" xfId="0" applyAlignment="1" applyFont="1">
      <alignment readingOrder="0"/>
    </xf>
    <xf borderId="0" fillId="0" fontId="13" numFmtId="0" xfId="0" applyAlignment="1" applyFont="1">
      <alignment readingOrder="0"/>
    </xf>
    <xf borderId="0" fillId="2" fontId="1" numFmtId="0" xfId="0" applyAlignment="1" applyFont="1">
      <alignment horizontal="center" shrinkToFit="0" wrapText="1"/>
    </xf>
    <xf borderId="0" fillId="4" fontId="10" numFmtId="0" xfId="0" applyAlignment="1" applyFont="1">
      <alignment horizontal="center" readingOrder="0"/>
    </xf>
    <xf borderId="0" fillId="0" fontId="10" numFmtId="0" xfId="0" applyAlignment="1" applyFont="1">
      <alignment readingOrder="0"/>
    </xf>
    <xf borderId="0" fillId="4" fontId="10" numFmtId="0" xfId="0" applyAlignment="1" applyFont="1">
      <alignment horizontal="center"/>
    </xf>
    <xf borderId="0" fillId="0" fontId="10" numFmtId="0" xfId="0" applyAlignment="1" applyFont="1">
      <alignment readingOrder="0" vertical="bottom"/>
    </xf>
    <xf borderId="0" fillId="9" fontId="10" numFmtId="0" xfId="0" applyAlignment="1" applyFill="1" applyFont="1">
      <alignment readingOrder="0"/>
    </xf>
    <xf borderId="0" fillId="0" fontId="11" numFmtId="0" xfId="0" applyAlignment="1" applyFont="1">
      <alignment readingOrder="0"/>
    </xf>
    <xf borderId="0" fillId="0" fontId="11" numFmtId="0" xfId="0" applyAlignment="1" applyFont="1">
      <alignment readingOrder="0" vertical="bottom"/>
    </xf>
    <xf borderId="0" fillId="0" fontId="39" numFmtId="0" xfId="0" applyAlignment="1" applyFon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>
        <color rgb="FFFFFFFF"/>
      </font>
      <fill>
        <patternFill patternType="solid">
          <fgColor rgb="FF38761D"/>
          <bgColor rgb="FF38761D"/>
        </patternFill>
      </fill>
      <border/>
    </dxf>
  </dxfs>
  <tableStyles count="6">
    <tableStyle count="4" pivot="0" name="MENU PIZZ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GREDIENT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icette dei preparat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izza del 211120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izza del 241220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izza del 29122024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57150</xdr:rowOff>
    </xdr:from>
    <xdr:ext cx="295275" cy="295275"/>
    <xdr:pic>
      <xdr:nvPicPr>
        <xdr:cNvPr id="0" name="image6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457200</xdr:colOff>
      <xdr:row>0</xdr:row>
      <xdr:rowOff>57150</xdr:rowOff>
    </xdr:from>
    <xdr:ext cx="228600" cy="295275"/>
    <xdr:pic>
      <xdr:nvPicPr>
        <xdr:cNvPr id="0" name="image2.pn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0</xdr:row>
      <xdr:rowOff>85725</xdr:rowOff>
    </xdr:from>
    <xdr:ext cx="228600" cy="238125"/>
    <xdr:pic>
      <xdr:nvPicPr>
        <xdr:cNvPr id="0" name="image3.png" title="Immagin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1171575</xdr:colOff>
      <xdr:row>0</xdr:row>
      <xdr:rowOff>57150</xdr:rowOff>
    </xdr:from>
    <xdr:ext cx="295275" cy="295275"/>
    <xdr:pic>
      <xdr:nvPicPr>
        <xdr:cNvPr id="0" name="image6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0</xdr:row>
      <xdr:rowOff>85725</xdr:rowOff>
    </xdr:from>
    <xdr:ext cx="228600" cy="238125"/>
    <xdr:pic>
      <xdr:nvPicPr>
        <xdr:cNvPr id="0" name="image3.png" title="Immagin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95250</xdr:colOff>
      <xdr:row>0</xdr:row>
      <xdr:rowOff>85725</xdr:rowOff>
    </xdr:from>
    <xdr:ext cx="295275" cy="295275"/>
    <xdr:pic>
      <xdr:nvPicPr>
        <xdr:cNvPr id="0" name="image6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66675</xdr:colOff>
      <xdr:row>0</xdr:row>
      <xdr:rowOff>114300</xdr:rowOff>
    </xdr:from>
    <xdr:ext cx="228600" cy="238125"/>
    <xdr:pic>
      <xdr:nvPicPr>
        <xdr:cNvPr id="0" name="image3.png" title="Immagin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152400</xdr:colOff>
      <xdr:row>0</xdr:row>
      <xdr:rowOff>390525</xdr:rowOff>
    </xdr:from>
    <xdr:ext cx="266700" cy="266700"/>
    <xdr:pic>
      <xdr:nvPicPr>
        <xdr:cNvPr id="0" name="image4.png" title="Immagin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190500</xdr:colOff>
      <xdr:row>0</xdr:row>
      <xdr:rowOff>400050</xdr:rowOff>
    </xdr:from>
    <xdr:ext cx="228600" cy="238125"/>
    <xdr:pic>
      <xdr:nvPicPr>
        <xdr:cNvPr id="0" name="image4.png" title="Immagin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142875</xdr:colOff>
      <xdr:row>0</xdr:row>
      <xdr:rowOff>371475</xdr:rowOff>
    </xdr:from>
    <xdr:ext cx="304800" cy="295275"/>
    <xdr:pic>
      <xdr:nvPicPr>
        <xdr:cNvPr id="0" name="image5.png" title="Immagin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247650</xdr:colOff>
      <xdr:row>0</xdr:row>
      <xdr:rowOff>419100</xdr:rowOff>
    </xdr:from>
    <xdr:ext cx="228600" cy="238125"/>
    <xdr:pic>
      <xdr:nvPicPr>
        <xdr:cNvPr id="0" name="image1.png" title="Immagin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0</xdr:row>
      <xdr:rowOff>38100</xdr:rowOff>
    </xdr:from>
    <xdr:ext cx="333375" cy="333375"/>
    <xdr:pic>
      <xdr:nvPicPr>
        <xdr:cNvPr id="0" name="image6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0</xdr:row>
      <xdr:rowOff>76200</xdr:rowOff>
    </xdr:from>
    <xdr:ext cx="266700" cy="266700"/>
    <xdr:pic>
      <xdr:nvPicPr>
        <xdr:cNvPr id="0" name="image7.pn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0</xdr:row>
      <xdr:rowOff>38100</xdr:rowOff>
    </xdr:from>
    <xdr:ext cx="228600" cy="238125"/>
    <xdr:pic>
      <xdr:nvPicPr>
        <xdr:cNvPr id="0" name="image3.png" title="Immagin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209550</xdr:colOff>
      <xdr:row>0</xdr:row>
      <xdr:rowOff>419100</xdr:rowOff>
    </xdr:from>
    <xdr:ext cx="266700" cy="266700"/>
    <xdr:pic>
      <xdr:nvPicPr>
        <xdr:cNvPr id="0" name="image4.png" title="Immagin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342900</xdr:colOff>
      <xdr:row>26</xdr:row>
      <xdr:rowOff>190500</xdr:rowOff>
    </xdr:from>
    <xdr:ext cx="238125" cy="238125"/>
    <xdr:pic>
      <xdr:nvPicPr>
        <xdr:cNvPr id="0" name="image4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Q110" displayName="MENU_PIZZE" name="MENU_PIZZE" id="1">
  <tableColumns count="17">
    <tableColumn name="Da fare" id="1"/>
    <tableColumn name="DISPONIBILI (ingredienti in casa)" id="2"/>
    <tableColumn name="TIPO" id="3"/>
    <tableColumn name="NOME" id="4"/>
    <tableColumn name="INGREDIENTI          Pomodoro" id="5"/>
    <tableColumn name="Mozzarella" id="6"/>
    <tableColumn name="Principale 1" id="7"/>
    <tableColumn name="Principale 2" id="8"/>
    <tableColumn name="Altro 1" id="9"/>
    <tableColumn name="Altro 2" id="10"/>
    <tableColumn name="Altro 3" id="11"/>
    <tableColumn name="Altro 4" id="12"/>
    <tableColumn name="RI/DI" id="13"/>
    <tableColumn name="ORDINE DI PRODUZIONE" id="14"/>
    <tableColumn name="Prec" id="15"/>
    <tableColumn name="Descrizione per menù" id="16"/>
    <tableColumn name="NEW" id="17"/>
  </tableColumns>
  <tableStyleInfo name="MENU PIZZE-style" showColumnStripes="0" showFirstColumn="1" showLastColumn="1" showRowStripes="1"/>
</table>
</file>

<file path=xl/tables/table2.xml><?xml version="1.0" encoding="utf-8"?>
<table xmlns="http://schemas.openxmlformats.org/spreadsheetml/2006/main" ref="A1:I141" displayName="INGREDIENTI_PIZZE" name="INGREDIENTI_PIZZE" id="2">
  <tableColumns count="9">
    <tableColumn name="TIPO" id="1"/>
    <tableColumn name="INGREDIENTE" id="2"/>
    <tableColumn name="QTA' NECESS. (pizze richieste)" id="3"/>
    <tableColumn name="Già in casa         (pizze realizzabili)" id="4"/>
    <tableColumn name="in casa  __" id="5"/>
    <tableColumn name="DA ACQUISTARE" id="6"/>
    <tableColumn name="QTA' DA ACQUISTARE (Nro pizze)" id="7"/>
    <tableColumn name="IN QUANTE PIZZE (totale)" id="8"/>
    <tableColumn name="Ingredienti delle preparazioni" id="9"/>
  </tableColumns>
  <tableStyleInfo name="INGREDIENTI-style" showColumnStripes="0" showFirstColumn="1" showLastColumn="1" showRowStripes="1"/>
</table>
</file>

<file path=xl/tables/table3.xml><?xml version="1.0" encoding="utf-8"?>
<table xmlns="http://schemas.openxmlformats.org/spreadsheetml/2006/main" ref="B27:D71" displayName="PREPARAZIONI" name="PREPARAZIONI" id="3">
  <tableColumns count="3">
    <tableColumn name="PREPARAZIONE" id="1"/>
    <tableColumn name="RICETTE DEI PREPARATI SPECIALI" id="2"/>
    <tableColumn name="INGREDIENTI" id="3"/>
  </tableColumns>
  <tableStyleInfo name="Ricette dei preparati-style" showColumnStripes="0" showFirstColumn="1" showLastColumn="1" showRowStripes="1"/>
</table>
</file>

<file path=xl/tables/table4.xml><?xml version="1.0" encoding="utf-8"?>
<table xmlns="http://schemas.openxmlformats.org/spreadsheetml/2006/main" ref="A3:B95" displayName="Tabella_2" name="Tabella_2" id="4">
  <tableColumns count="2">
    <tableColumn name="Da fare" id="1"/>
    <tableColumn name="NOME" id="2"/>
  </tableColumns>
  <tableStyleInfo name="Pizza del 21112024-style" showColumnStripes="0" showFirstColumn="1" showLastColumn="1" showRowStripes="1"/>
</table>
</file>

<file path=xl/tables/table5.xml><?xml version="1.0" encoding="utf-8"?>
<table xmlns="http://schemas.openxmlformats.org/spreadsheetml/2006/main" ref="A3:B96" displayName="Tabella_1" name="Tabella_1" id="5">
  <tableColumns count="2">
    <tableColumn name="Da fare" id="1"/>
    <tableColumn name="NOME" id="2"/>
  </tableColumns>
  <tableStyleInfo name="Pizza del 24122024-style" showColumnStripes="0" showFirstColumn="1" showLastColumn="1" showRowStripes="1"/>
</table>
</file>

<file path=xl/tables/table6.xml><?xml version="1.0" encoding="utf-8"?>
<table xmlns="http://schemas.openxmlformats.org/spreadsheetml/2006/main" ref="A3:B103" displayName="Tabella_3" name="Tabella_3" id="6">
  <tableColumns count="2">
    <tableColumn name="Da fare" id="1"/>
    <tableColumn name="NOME" id="2"/>
  </tableColumns>
  <tableStyleInfo name="Pizza del 2912202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n.ro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blog.giallozafferano.it/piovonoricette/ricetta-finocchi-grigliati/" TargetMode="External"/><Relationship Id="rId22" Type="http://schemas.openxmlformats.org/officeDocument/2006/relationships/hyperlink" Target="https://blog.giallozafferano.it/cucinaconsara/tartare-di-fassona-piemontese/" TargetMode="External"/><Relationship Id="rId21" Type="http://schemas.openxmlformats.org/officeDocument/2006/relationships/hyperlink" Target="https://www.nonnapaperina.it/2015/09/emulsione-allaglio-nero-salsa/" TargetMode="External"/><Relationship Id="rId24" Type="http://schemas.openxmlformats.org/officeDocument/2006/relationships/hyperlink" Target="https://ricette.giallozafferano.it/Pesto-di-rucola.html" TargetMode="External"/><Relationship Id="rId23" Type="http://schemas.openxmlformats.org/officeDocument/2006/relationships/hyperlink" Target="https://blog.giallozafferano.it/cioccovaniglia/tataki-di-tonno/" TargetMode="External"/><Relationship Id="rId1" Type="http://schemas.openxmlformats.org/officeDocument/2006/relationships/hyperlink" Target="https://ricette.giallozafferano.it/Baccala-mantecato-alla-veneziana.html" TargetMode="External"/><Relationship Id="rId2" Type="http://schemas.openxmlformats.org/officeDocument/2006/relationships/hyperlink" Target="https://www.google.com/amp/s/www.cucchiaio.it/ricetta/cipolle-rosse-caramellate.amp.html" TargetMode="External"/><Relationship Id="rId3" Type="http://schemas.openxmlformats.org/officeDocument/2006/relationships/hyperlink" Target="https://ricette.giallozafferano.it/Pomodori-confit.html" TargetMode="External"/><Relationship Id="rId4" Type="http://schemas.openxmlformats.org/officeDocument/2006/relationships/hyperlink" Target="https://www.youtube.com/watch?v=WUBtcW7L540" TargetMode="External"/><Relationship Id="rId9" Type="http://schemas.openxmlformats.org/officeDocument/2006/relationships/hyperlink" Target="https://www.misya.info/ricetta/crema-alle-barbabietole.htm" TargetMode="External"/><Relationship Id="rId26" Type="http://schemas.openxmlformats.org/officeDocument/2006/relationships/hyperlink" Target="https://ricette.giallozafferano.it/Aioli.html" TargetMode="External"/><Relationship Id="rId25" Type="http://schemas.openxmlformats.org/officeDocument/2006/relationships/hyperlink" Target="https://ricette.giallozafferano.it/Pesto-di-rucola.html" TargetMode="External"/><Relationship Id="rId28" Type="http://schemas.openxmlformats.org/officeDocument/2006/relationships/hyperlink" Target="https://ricette.giallozafferano.it/Pizzoccheri-alla-valtellinese.html" TargetMode="External"/><Relationship Id="rId27" Type="http://schemas.openxmlformats.org/officeDocument/2006/relationships/hyperlink" Target="https://ricette.giallozafferano.it/Pizzoccheri-alla-valtellinese.html" TargetMode="External"/><Relationship Id="rId5" Type="http://schemas.openxmlformats.org/officeDocument/2006/relationships/hyperlink" Target="https://blog.giallozafferano.it/allacciateilgrembiule/patate-a-fette-in-padella/" TargetMode="External"/><Relationship Id="rId6" Type="http://schemas.openxmlformats.org/officeDocument/2006/relationships/hyperlink" Target="https://ricette.giallozafferano.it/Vellutata-di-zucchine.html" TargetMode="External"/><Relationship Id="rId29" Type="http://schemas.openxmlformats.org/officeDocument/2006/relationships/hyperlink" Target="https://blog.giallozafferano.it/cucinoperpassione/maionese-al-wasabi/" TargetMode="External"/><Relationship Id="rId7" Type="http://schemas.openxmlformats.org/officeDocument/2006/relationships/hyperlink" Target="https://blog.giallozafferano.it/pasticcidigiu/ricetta-penne-con-crema-di-friarielli-e-salsiccia/" TargetMode="External"/><Relationship Id="rId8" Type="http://schemas.openxmlformats.org/officeDocument/2006/relationships/hyperlink" Target="https://blog.giallozafferano.it/cucinanonnalina/crema-di-ceci-ricetta-veloce-e-economica/" TargetMode="External"/><Relationship Id="rId31" Type="http://schemas.openxmlformats.org/officeDocument/2006/relationships/hyperlink" Target="https://blog.giallozafferano.it/crisemaxincucina/ananas-caramellato/" TargetMode="External"/><Relationship Id="rId30" Type="http://schemas.openxmlformats.org/officeDocument/2006/relationships/hyperlink" Target="https://ricette.giallozafferano.it/Aioli.html" TargetMode="External"/><Relationship Id="rId11" Type="http://schemas.openxmlformats.org/officeDocument/2006/relationships/hyperlink" Target="https://www.youtube.com/watch?v=guCAaGCH_Mc" TargetMode="External"/><Relationship Id="rId10" Type="http://schemas.openxmlformats.org/officeDocument/2006/relationships/hyperlink" Target="https://ricette.giallozafferano.it/Guacamole.html" TargetMode="External"/><Relationship Id="rId32" Type="http://schemas.openxmlformats.org/officeDocument/2006/relationships/drawing" Target="../drawings/drawing4.xml"/><Relationship Id="rId13" Type="http://schemas.openxmlformats.org/officeDocument/2006/relationships/hyperlink" Target="https://www.tavolartegusto.it/ricetta/pesto-di-pistacchio-ricetta/" TargetMode="External"/><Relationship Id="rId12" Type="http://schemas.openxmlformats.org/officeDocument/2006/relationships/hyperlink" Target="https://ricette.giallozafferano.it/Confettura-pere-e-zenzero.html" TargetMode="External"/><Relationship Id="rId34" Type="http://schemas.openxmlformats.org/officeDocument/2006/relationships/table" Target="../tables/table3.xml"/><Relationship Id="rId15" Type="http://schemas.openxmlformats.org/officeDocument/2006/relationships/hyperlink" Target="https://blog.giallozafferano.it/melogranierose/crema-di-pecorino-per-condire-o-spalmare/" TargetMode="External"/><Relationship Id="rId14" Type="http://schemas.openxmlformats.org/officeDocument/2006/relationships/hyperlink" Target="https://www.lacucinaitaliana.it/article/vellutata-di-piselli-ricetta-facile-cremosa-leggera/" TargetMode="External"/><Relationship Id="rId17" Type="http://schemas.openxmlformats.org/officeDocument/2006/relationships/hyperlink" Target="https://www.cookaround.com/ricetta/petto-d-anatra-all-arancia.html" TargetMode="External"/><Relationship Id="rId16" Type="http://schemas.openxmlformats.org/officeDocument/2006/relationships/hyperlink" Target="https://blog.giallozafferano.it/neltegamesulfuoco/baccala-in-oliocottura-in-vasocottura/" TargetMode="External"/><Relationship Id="rId19" Type="http://schemas.openxmlformats.org/officeDocument/2006/relationships/hyperlink" Target="https://ricette.giallozafferano.it/Paella-de-marisco.html" TargetMode="External"/><Relationship Id="rId18" Type="http://schemas.openxmlformats.org/officeDocument/2006/relationships/hyperlink" Target="https://ricette.giallozafferano.it/Stracotto-di-manzo.html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1.38"/>
    <col customWidth="1" min="2" max="2" width="16.75"/>
    <col customWidth="1" min="3" max="3" width="9.13"/>
    <col customWidth="1" min="4" max="4" width="23.13"/>
    <col customWidth="1" min="5" max="5" width="18.75"/>
    <col customWidth="1" min="6" max="6" width="16.63"/>
    <col customWidth="1" min="7" max="7" width="17.25"/>
    <col customWidth="1" min="8" max="8" width="20.5"/>
    <col customWidth="1" min="9" max="9" width="20.38"/>
    <col customWidth="1" min="10" max="10" width="17.88"/>
    <col customWidth="1" min="11" max="12" width="16.63"/>
    <col customWidth="1" min="13" max="13" width="6.63"/>
    <col customWidth="1" min="14" max="14" width="17.13"/>
    <col customWidth="1" min="15" max="15" width="6.63"/>
    <col customWidth="1" min="16" max="16" width="42.88"/>
    <col customWidth="1" min="17" max="17" width="8.38"/>
    <col customWidth="1" min="18" max="18" width="1.5"/>
    <col customWidth="1" min="19" max="19" width="20.88"/>
    <col customWidth="1" min="20" max="20" width="1.25"/>
    <col customWidth="1" min="21" max="21" width="8.38"/>
    <col customWidth="1" min="22" max="22" width="1.5"/>
    <col customWidth="1" min="23" max="23" width="7.88"/>
    <col customWidth="1" min="24" max="24" width="1.88"/>
    <col customWidth="1" min="25" max="25" width="8.25"/>
    <col customWidth="1" min="26" max="26" width="2.63"/>
    <col customWidth="1" min="27" max="27" width="10.25"/>
    <col customWidth="1" min="28" max="28" width="12.63"/>
    <col customWidth="1" min="29" max="29" width="14.38"/>
  </cols>
  <sheetData>
    <row r="1" ht="33.0" customHeight="1">
      <c r="A1" s="1"/>
      <c r="B1" s="1"/>
      <c r="C1" s="2"/>
      <c r="D1" s="2"/>
      <c r="E1" s="3"/>
      <c r="F1" s="2"/>
      <c r="G1" s="2"/>
      <c r="H1" s="2"/>
      <c r="I1" s="2"/>
      <c r="J1" s="2"/>
      <c r="K1" s="2"/>
      <c r="L1" s="2"/>
      <c r="M1" s="4"/>
      <c r="N1" s="4"/>
      <c r="O1" s="5"/>
      <c r="P1" s="4"/>
      <c r="Q1" s="4"/>
      <c r="R1" s="6"/>
      <c r="S1" s="7" t="s">
        <v>0</v>
      </c>
      <c r="U1" s="8" t="s">
        <v>1</v>
      </c>
      <c r="W1" s="8" t="s">
        <v>2</v>
      </c>
      <c r="Y1" s="8" t="s">
        <v>3</v>
      </c>
      <c r="AA1" s="8" t="s">
        <v>4</v>
      </c>
    </row>
    <row r="2" ht="26.25" customHeight="1">
      <c r="A2" s="1"/>
      <c r="B2" s="1"/>
      <c r="C2" s="2"/>
      <c r="D2" s="2"/>
      <c r="E2" s="3"/>
      <c r="F2" s="2"/>
      <c r="G2" s="2"/>
      <c r="H2" s="2"/>
      <c r="I2" s="2"/>
      <c r="J2" s="2"/>
      <c r="K2" s="2"/>
      <c r="L2" s="2"/>
      <c r="M2" s="4"/>
      <c r="N2" s="4"/>
      <c r="O2" s="5"/>
      <c r="P2" s="4"/>
      <c r="Q2" s="4"/>
      <c r="R2" s="6"/>
      <c r="S2" s="9"/>
      <c r="U2" s="10"/>
      <c r="W2" s="10"/>
      <c r="Y2" s="11"/>
      <c r="AA2" s="11"/>
    </row>
    <row r="3" ht="84.0" customHeight="1">
      <c r="A3" s="12" t="s">
        <v>5</v>
      </c>
      <c r="B3" s="13" t="s">
        <v>6</v>
      </c>
      <c r="C3" s="14" t="s">
        <v>7</v>
      </c>
      <c r="D3" s="14" t="s">
        <v>8</v>
      </c>
      <c r="E3" s="15" t="s">
        <v>9</v>
      </c>
      <c r="F3" s="14" t="s">
        <v>10</v>
      </c>
      <c r="G3" s="14" t="s">
        <v>11</v>
      </c>
      <c r="H3" s="14" t="s">
        <v>12</v>
      </c>
      <c r="I3" s="14" t="s">
        <v>13</v>
      </c>
      <c r="J3" s="14" t="s">
        <v>14</v>
      </c>
      <c r="K3" s="14" t="s">
        <v>15</v>
      </c>
      <c r="L3" s="14" t="s">
        <v>16</v>
      </c>
      <c r="M3" s="16" t="s">
        <v>17</v>
      </c>
      <c r="N3" s="17" t="s">
        <v>18</v>
      </c>
      <c r="O3" s="18" t="s">
        <v>19</v>
      </c>
      <c r="P3" s="19" t="s">
        <v>20</v>
      </c>
      <c r="Q3" s="17" t="s">
        <v>21</v>
      </c>
      <c r="R3" s="6"/>
    </row>
    <row r="4" ht="15.75" customHeight="1">
      <c r="A4" s="20">
        <v>1.0</v>
      </c>
      <c r="B4" s="21">
        <f>MIN(SUMIF(INGREDIENTI!$B$2:$B$114,E4,INGREDIENTI!$D$2:$D$114),SUMIF(INGREDIENTI!$B$2:$B$114,F4,INGREDIENTI!$D$2:$D$114),SUMIF(INGREDIENTI!$B$2:$B$114,G4,INGREDIENTI!$D$2:$D$114),SUMIF(INGREDIENTI!$B$2:$B$114,H4,INGREDIENTI!$D$2:$D$114),SUMIF(INGREDIENTI!$B$2:$B$114,I4,INGREDIENTI!$D$2:$D$114),SUMIF(INGREDIENTI!$B$2:$B$114,J4,INGREDIENTI!$D$2:$D$114),SUMIF(INGREDIENTI!$B$2:$B$114,K4,INGREDIENTI!$D$2:$D$114),SUMIF(INGREDIENTI!$B$2:$B$114,L4,INGREDIENTI!$D$2:$D$114))</f>
        <v>0</v>
      </c>
      <c r="C4" s="22" t="s">
        <v>22</v>
      </c>
      <c r="D4" s="23" t="s">
        <v>23</v>
      </c>
      <c r="E4" s="24" t="s">
        <v>24</v>
      </c>
      <c r="F4" s="25" t="s">
        <v>25</v>
      </c>
      <c r="G4" s="24" t="s">
        <v>26</v>
      </c>
      <c r="H4" s="24" t="s">
        <v>27</v>
      </c>
      <c r="I4" s="24" t="s">
        <v>28</v>
      </c>
      <c r="J4" s="24" t="s">
        <v>28</v>
      </c>
      <c r="K4" s="24" t="s">
        <v>28</v>
      </c>
      <c r="L4" s="24" t="s">
        <v>28</v>
      </c>
      <c r="M4" s="26" t="str">
        <f t="shared" ref="M4:M110" si="1">IF(A4&gt; 0,"SI",IF(B4&gt; 0,"SI",""))</f>
        <v>SI</v>
      </c>
      <c r="N4" s="27">
        <v>1.0</v>
      </c>
      <c r="O4" s="28">
        <f>SUMIF( 'TOTALI PIZZE'!A:A,D4,'TOTALI PIZZE'!B:B)</f>
        <v>6</v>
      </c>
      <c r="P4" s="29" t="s">
        <v>29</v>
      </c>
      <c r="Q4" s="30" t="str">
        <f>if(SUMIF(  'TOTALI PIZZE'!A:A,D4,'TOTALI PIZZE'!B:B)=0,"NEW","")</f>
        <v/>
      </c>
      <c r="R4" s="31"/>
    </row>
    <row r="5" ht="15.75" customHeight="1">
      <c r="A5" s="20">
        <v>1.0</v>
      </c>
      <c r="B5" s="21">
        <f>MIN(SUMIF(INGREDIENTI!$B$2:$B$114,E5,INGREDIENTI!$D$2:$D$114),SUMIF(INGREDIENTI!$B$2:$B$114,F5,INGREDIENTI!$D$2:$D$114),SUMIF(INGREDIENTI!$B$2:$B$114,G5,INGREDIENTI!$D$2:$D$114),SUMIF(INGREDIENTI!$B$2:$B$114,H5,INGREDIENTI!$D$2:$D$114),SUMIF(INGREDIENTI!$B$2:$B$114,I5,INGREDIENTI!$D$2:$D$114),SUMIF(INGREDIENTI!$B$2:$B$114,J5,INGREDIENTI!$D$2:$D$114),SUMIF(INGREDIENTI!$B$2:$B$114,K5,INGREDIENTI!$D$2:$D$114),SUMIF(INGREDIENTI!$B$2:$B$114,L5,INGREDIENTI!$D$2:$D$114))</f>
        <v>0</v>
      </c>
      <c r="C5" s="32" t="s">
        <v>30</v>
      </c>
      <c r="D5" s="33" t="s">
        <v>31</v>
      </c>
      <c r="E5" s="25" t="s">
        <v>28</v>
      </c>
      <c r="F5" s="25" t="s">
        <v>28</v>
      </c>
      <c r="G5" s="25" t="s">
        <v>32</v>
      </c>
      <c r="H5" s="25" t="s">
        <v>33</v>
      </c>
      <c r="I5" s="25" t="s">
        <v>34</v>
      </c>
      <c r="J5" s="25" t="s">
        <v>35</v>
      </c>
      <c r="K5" s="25" t="s">
        <v>36</v>
      </c>
      <c r="L5" s="25" t="s">
        <v>28</v>
      </c>
      <c r="M5" s="26" t="str">
        <f t="shared" si="1"/>
        <v>SI</v>
      </c>
      <c r="N5" s="34">
        <v>2.0</v>
      </c>
      <c r="O5" s="28">
        <f>SUMIF( 'TOTALI PIZZE'!A:A,D5,'TOTALI PIZZE'!B:B)</f>
        <v>0</v>
      </c>
      <c r="P5" s="29" t="s">
        <v>37</v>
      </c>
      <c r="Q5" s="30" t="str">
        <f>if(SUMIF(  'TOTALI PIZZE'!A:A,D5,'TOTALI PIZZE'!B:B)=0,"NEW","")</f>
        <v>NEW</v>
      </c>
      <c r="R5" s="31"/>
    </row>
    <row r="6" ht="15.75" customHeight="1">
      <c r="A6" s="20">
        <v>1.0</v>
      </c>
      <c r="B6" s="21">
        <f>MIN(SUMIF(INGREDIENTI!$B$2:$B$114,E6,INGREDIENTI!$D$2:$D$114),SUMIF(INGREDIENTI!$B$2:$B$114,F6,INGREDIENTI!$D$2:$D$114),SUMIF(INGREDIENTI!$B$2:$B$114,G6,INGREDIENTI!$D$2:$D$114),SUMIF(INGREDIENTI!$B$2:$B$114,H6,INGREDIENTI!$D$2:$D$114),SUMIF(INGREDIENTI!$B$2:$B$114,I6,INGREDIENTI!$D$2:$D$114),SUMIF(INGREDIENTI!$B$2:$B$114,J6,INGREDIENTI!$D$2:$D$114),SUMIF(INGREDIENTI!$B$2:$B$114,K6,INGREDIENTI!$D$2:$D$114),SUMIF(INGREDIENTI!$B$2:$B$114,L6,INGREDIENTI!$D$2:$D$114))</f>
        <v>0</v>
      </c>
      <c r="C6" s="22" t="s">
        <v>30</v>
      </c>
      <c r="D6" s="23" t="s">
        <v>38</v>
      </c>
      <c r="E6" s="24" t="s">
        <v>28</v>
      </c>
      <c r="F6" s="25" t="s">
        <v>25</v>
      </c>
      <c r="G6" s="24" t="s">
        <v>39</v>
      </c>
      <c r="H6" s="24" t="s">
        <v>40</v>
      </c>
      <c r="I6" s="24" t="s">
        <v>26</v>
      </c>
      <c r="J6" s="24" t="s">
        <v>41</v>
      </c>
      <c r="K6" s="24" t="s">
        <v>42</v>
      </c>
      <c r="L6" s="24" t="s">
        <v>28</v>
      </c>
      <c r="M6" s="26" t="str">
        <f t="shared" si="1"/>
        <v>SI</v>
      </c>
      <c r="N6" s="27">
        <v>3.0</v>
      </c>
      <c r="O6" s="28">
        <f>SUMIF( 'TOTALI PIZZE'!A:A,D6,'TOTALI PIZZE'!B:B)</f>
        <v>4</v>
      </c>
      <c r="P6" s="29" t="s">
        <v>43</v>
      </c>
      <c r="Q6" s="30" t="str">
        <f>if(SUMIF(  'TOTALI PIZZE'!A:A,D6,'TOTALI PIZZE'!B:B)=0,"NEW","")</f>
        <v/>
      </c>
      <c r="R6" s="31"/>
    </row>
    <row r="7" ht="15.75" customHeight="1">
      <c r="A7" s="20">
        <v>1.0</v>
      </c>
      <c r="B7" s="21">
        <f>MIN(SUMIF(INGREDIENTI!$B$2:$B$114,E7,INGREDIENTI!$D$2:$D$114),SUMIF(INGREDIENTI!$B$2:$B$114,F7,INGREDIENTI!$D$2:$D$114),SUMIF(INGREDIENTI!$B$2:$B$114,G7,INGREDIENTI!$D$2:$D$114),SUMIF(INGREDIENTI!$B$2:$B$114,H7,INGREDIENTI!$D$2:$D$114),SUMIF(INGREDIENTI!$B$2:$B$114,I7,INGREDIENTI!$D$2:$D$114),SUMIF(INGREDIENTI!$B$2:$B$114,J7,INGREDIENTI!$D$2:$D$114),SUMIF(INGREDIENTI!$B$2:$B$114,K7,INGREDIENTI!$D$2:$D$114),SUMIF(INGREDIENTI!$B$2:$B$114,L7,INGREDIENTI!$D$2:$D$114))</f>
        <v>0</v>
      </c>
      <c r="C7" s="22" t="s">
        <v>30</v>
      </c>
      <c r="D7" s="23" t="s">
        <v>44</v>
      </c>
      <c r="E7" s="24" t="s">
        <v>24</v>
      </c>
      <c r="F7" s="25" t="s">
        <v>25</v>
      </c>
      <c r="G7" s="24" t="s">
        <v>34</v>
      </c>
      <c r="H7" s="24" t="s">
        <v>45</v>
      </c>
      <c r="I7" s="24" t="s">
        <v>26</v>
      </c>
      <c r="J7" s="24" t="s">
        <v>27</v>
      </c>
      <c r="K7" s="24" t="s">
        <v>35</v>
      </c>
      <c r="L7" s="24" t="s">
        <v>28</v>
      </c>
      <c r="M7" s="26" t="str">
        <f t="shared" si="1"/>
        <v>SI</v>
      </c>
      <c r="N7" s="27">
        <v>4.0</v>
      </c>
      <c r="O7" s="28">
        <f>SUMIF( 'TOTALI PIZZE'!A:A,D7,'TOTALI PIZZE'!B:B)</f>
        <v>2</v>
      </c>
      <c r="P7" s="29" t="s">
        <v>46</v>
      </c>
      <c r="Q7" s="30" t="str">
        <f>if(SUMIF(  'TOTALI PIZZE'!A:A,D7,'TOTALI PIZZE'!B:B)=0,"NEW","")</f>
        <v/>
      </c>
      <c r="R7" s="31"/>
    </row>
    <row r="8" ht="15.75" customHeight="1">
      <c r="A8" s="20">
        <v>1.0</v>
      </c>
      <c r="B8" s="21">
        <f>MIN(SUMIF(INGREDIENTI!$B$2:$B$114,E8,INGREDIENTI!$D$2:$D$114),SUMIF(INGREDIENTI!$B$2:$B$114,F8,INGREDIENTI!$D$2:$D$114),SUMIF(INGREDIENTI!$B$2:$B$114,G8,INGREDIENTI!$D$2:$D$114),SUMIF(INGREDIENTI!$B$2:$B$114,H8,INGREDIENTI!$D$2:$D$114),SUMIF(INGREDIENTI!$B$2:$B$114,I8,INGREDIENTI!$D$2:$D$114),SUMIF(INGREDIENTI!$B$2:$B$114,J8,INGREDIENTI!$D$2:$D$114),SUMIF(INGREDIENTI!$B$2:$B$114,K8,INGREDIENTI!$D$2:$D$114),SUMIF(INGREDIENTI!$B$2:$B$114,L8,INGREDIENTI!$D$2:$D$114))</f>
        <v>0</v>
      </c>
      <c r="C8" s="22" t="s">
        <v>30</v>
      </c>
      <c r="D8" s="23" t="s">
        <v>47</v>
      </c>
      <c r="E8" s="24" t="s">
        <v>28</v>
      </c>
      <c r="F8" s="24" t="s">
        <v>25</v>
      </c>
      <c r="G8" s="24" t="s">
        <v>48</v>
      </c>
      <c r="H8" s="24" t="s">
        <v>49</v>
      </c>
      <c r="I8" s="24" t="s">
        <v>26</v>
      </c>
      <c r="J8" s="24" t="s">
        <v>50</v>
      </c>
      <c r="K8" s="24" t="s">
        <v>28</v>
      </c>
      <c r="L8" s="24" t="s">
        <v>28</v>
      </c>
      <c r="M8" s="26" t="str">
        <f t="shared" si="1"/>
        <v>SI</v>
      </c>
      <c r="N8" s="27">
        <v>5.0</v>
      </c>
      <c r="O8" s="28">
        <f>SUMIF( 'TOTALI PIZZE'!A:A,D8,'TOTALI PIZZE'!B:B)</f>
        <v>0</v>
      </c>
      <c r="P8" s="29"/>
      <c r="Q8" s="30" t="str">
        <f>if(SUMIF(  'TOTALI PIZZE'!A:A,D8,'TOTALI PIZZE'!B:B)=0,"NEW","")</f>
        <v>NEW</v>
      </c>
    </row>
    <row r="9" ht="15.75" customHeight="1">
      <c r="A9" s="20"/>
      <c r="B9" s="21">
        <f>MIN(SUMIF(INGREDIENTI!$B$2:$B$114,E9,INGREDIENTI!$D$2:$D$114),SUMIF(INGREDIENTI!$B$2:$B$114,F9,INGREDIENTI!$D$2:$D$114),SUMIF(INGREDIENTI!$B$2:$B$114,G9,INGREDIENTI!$D$2:$D$114),SUMIF(INGREDIENTI!$B$2:$B$114,H9,INGREDIENTI!$D$2:$D$114),SUMIF(INGREDIENTI!$B$2:$B$114,I9,INGREDIENTI!$D$2:$D$114),SUMIF(INGREDIENTI!$B$2:$B$114,J9,INGREDIENTI!$D$2:$D$114),SUMIF(INGREDIENTI!$B$2:$B$114,K9,INGREDIENTI!$D$2:$D$114),SUMIF(INGREDIENTI!$B$2:$B$114,L9,INGREDIENTI!$D$2:$D$114))</f>
        <v>0</v>
      </c>
      <c r="C9" s="22" t="s">
        <v>30</v>
      </c>
      <c r="D9" s="23" t="s">
        <v>51</v>
      </c>
      <c r="E9" s="24" t="s">
        <v>52</v>
      </c>
      <c r="F9" s="24" t="s">
        <v>28</v>
      </c>
      <c r="G9" s="24" t="s">
        <v>53</v>
      </c>
      <c r="H9" s="24" t="s">
        <v>54</v>
      </c>
      <c r="I9" s="24" t="s">
        <v>55</v>
      </c>
      <c r="J9" s="24" t="s">
        <v>28</v>
      </c>
      <c r="K9" s="24" t="s">
        <v>28</v>
      </c>
      <c r="L9" s="24" t="s">
        <v>28</v>
      </c>
      <c r="M9" s="26" t="str">
        <f t="shared" si="1"/>
        <v/>
      </c>
      <c r="N9" s="27"/>
      <c r="O9" s="28">
        <f>SUMIF( 'TOTALI PIZZE'!A:A,D9,'TOTALI PIZZE'!B:B)</f>
        <v>1</v>
      </c>
      <c r="P9" s="29" t="s">
        <v>56</v>
      </c>
      <c r="Q9" s="30" t="str">
        <f>if(SUMIF(  'TOTALI PIZZE'!A:A,D9,'TOTALI PIZZE'!B:B)=0,"NEW","")</f>
        <v/>
      </c>
    </row>
    <row r="10" ht="15.75" customHeight="1">
      <c r="A10" s="20"/>
      <c r="B10" s="21">
        <f>MIN(SUMIF(INGREDIENTI!$B$2:$B$114,E10,INGREDIENTI!$D$2:$D$114),SUMIF(INGREDIENTI!$B$2:$B$114,F10,INGREDIENTI!$D$2:$D$114),SUMIF(INGREDIENTI!$B$2:$B$114,G10,INGREDIENTI!$D$2:$D$114),SUMIF(INGREDIENTI!$B$2:$B$114,H10,INGREDIENTI!$D$2:$D$114),SUMIF(INGREDIENTI!$B$2:$B$114,I10,INGREDIENTI!$D$2:$D$114),SUMIF(INGREDIENTI!$B$2:$B$114,J10,INGREDIENTI!$D$2:$D$114),SUMIF(INGREDIENTI!$B$2:$B$114,K10,INGREDIENTI!$D$2:$D$114),SUMIF(INGREDIENTI!$B$2:$B$114,L10,INGREDIENTI!$D$2:$D$114))</f>
        <v>0</v>
      </c>
      <c r="C10" s="22" t="s">
        <v>30</v>
      </c>
      <c r="D10" s="23" t="s">
        <v>57</v>
      </c>
      <c r="E10" s="24" t="s">
        <v>24</v>
      </c>
      <c r="F10" s="25" t="s">
        <v>28</v>
      </c>
      <c r="G10" s="24" t="s">
        <v>58</v>
      </c>
      <c r="H10" s="24" t="s">
        <v>49</v>
      </c>
      <c r="I10" s="24" t="s">
        <v>59</v>
      </c>
      <c r="J10" s="24" t="s">
        <v>28</v>
      </c>
      <c r="K10" s="24" t="s">
        <v>28</v>
      </c>
      <c r="L10" s="24" t="s">
        <v>28</v>
      </c>
      <c r="M10" s="26" t="str">
        <f t="shared" si="1"/>
        <v/>
      </c>
      <c r="N10" s="27"/>
      <c r="O10" s="28">
        <f>SUMIF( 'TOTALI PIZZE'!A:A,D10,'TOTALI PIZZE'!B:B)</f>
        <v>2</v>
      </c>
      <c r="P10" s="29" t="s">
        <v>60</v>
      </c>
      <c r="Q10" s="30" t="str">
        <f>if(SUMIF(  'TOTALI PIZZE'!A:A,D10,'TOTALI PIZZE'!B:B)=0,"NEW","")</f>
        <v/>
      </c>
    </row>
    <row r="11" ht="15.75" customHeight="1">
      <c r="A11" s="20"/>
      <c r="B11" s="21">
        <f>MIN(SUMIF(INGREDIENTI!$B$2:$B$114,E11,INGREDIENTI!$D$2:$D$114),SUMIF(INGREDIENTI!$B$2:$B$114,F11,INGREDIENTI!$D$2:$D$114),SUMIF(INGREDIENTI!$B$2:$B$114,G11,INGREDIENTI!$D$2:$D$114),SUMIF(INGREDIENTI!$B$2:$B$114,H11,INGREDIENTI!$D$2:$D$114),SUMIF(INGREDIENTI!$B$2:$B$114,I11,INGREDIENTI!$D$2:$D$114),SUMIF(INGREDIENTI!$B$2:$B$114,J11,INGREDIENTI!$D$2:$D$114),SUMIF(INGREDIENTI!$B$2:$B$114,K11,INGREDIENTI!$D$2:$D$114),SUMIF(INGREDIENTI!$B$2:$B$114,L11,INGREDIENTI!$D$2:$D$114))</f>
        <v>0</v>
      </c>
      <c r="C11" s="22" t="s">
        <v>30</v>
      </c>
      <c r="D11" s="23" t="s">
        <v>61</v>
      </c>
      <c r="E11" s="24" t="s">
        <v>28</v>
      </c>
      <c r="F11" s="25" t="s">
        <v>25</v>
      </c>
      <c r="G11" s="24" t="s">
        <v>62</v>
      </c>
      <c r="H11" s="24" t="s">
        <v>53</v>
      </c>
      <c r="I11" s="24" t="s">
        <v>63</v>
      </c>
      <c r="J11" s="24" t="s">
        <v>28</v>
      </c>
      <c r="K11" s="24" t="s">
        <v>28</v>
      </c>
      <c r="L11" s="24" t="s">
        <v>28</v>
      </c>
      <c r="M11" s="26" t="str">
        <f t="shared" si="1"/>
        <v/>
      </c>
      <c r="N11" s="27"/>
      <c r="O11" s="28">
        <f>SUMIF( 'TOTALI PIZZE'!A:A,D11,'TOTALI PIZZE'!B:B)</f>
        <v>1</v>
      </c>
      <c r="P11" s="29" t="s">
        <v>64</v>
      </c>
      <c r="Q11" s="30" t="str">
        <f>if(SUMIF(  'TOTALI PIZZE'!A:A,D11,'TOTALI PIZZE'!B:B)=0,"NEW","")</f>
        <v/>
      </c>
    </row>
    <row r="12" ht="15.75" customHeight="1">
      <c r="A12" s="20"/>
      <c r="B12" s="21">
        <f>MIN(SUMIF(INGREDIENTI!$B$2:$B$114,E12,INGREDIENTI!$D$2:$D$114),SUMIF(INGREDIENTI!$B$2:$B$114,F12,INGREDIENTI!$D$2:$D$114),SUMIF(INGREDIENTI!$B$2:$B$114,G12,INGREDIENTI!$D$2:$D$114),SUMIF(INGREDIENTI!$B$2:$B$114,H12,INGREDIENTI!$D$2:$D$114),SUMIF(INGREDIENTI!$B$2:$B$114,I12,INGREDIENTI!$D$2:$D$114),SUMIF(INGREDIENTI!$B$2:$B$114,J12,INGREDIENTI!$D$2:$D$114),SUMIF(INGREDIENTI!$B$2:$B$114,K12,INGREDIENTI!$D$2:$D$114),SUMIF(INGREDIENTI!$B$2:$B$114,L12,INGREDIENTI!$D$2:$D$114))</f>
        <v>0</v>
      </c>
      <c r="C12" s="22" t="s">
        <v>30</v>
      </c>
      <c r="D12" s="23" t="s">
        <v>65</v>
      </c>
      <c r="E12" s="24" t="s">
        <v>28</v>
      </c>
      <c r="F12" s="24" t="s">
        <v>28</v>
      </c>
      <c r="G12" s="24" t="s">
        <v>66</v>
      </c>
      <c r="H12" s="24" t="s">
        <v>67</v>
      </c>
      <c r="I12" s="24" t="s">
        <v>68</v>
      </c>
      <c r="J12" s="24" t="s">
        <v>69</v>
      </c>
      <c r="K12" s="24" t="s">
        <v>36</v>
      </c>
      <c r="L12" s="24" t="s">
        <v>28</v>
      </c>
      <c r="M12" s="26" t="str">
        <f t="shared" si="1"/>
        <v/>
      </c>
      <c r="N12" s="27"/>
      <c r="O12" s="28">
        <f>SUMIF( 'TOTALI PIZZE'!A:A,D12,'TOTALI PIZZE'!B:B)</f>
        <v>2</v>
      </c>
      <c r="P12" s="29" t="s">
        <v>70</v>
      </c>
      <c r="Q12" s="30" t="str">
        <f>if(SUMIF(  'TOTALI PIZZE'!A:A,D12,'TOTALI PIZZE'!B:B)=0,"NEW","")</f>
        <v/>
      </c>
    </row>
    <row r="13" ht="15.75" customHeight="1">
      <c r="A13" s="20"/>
      <c r="B13" s="21">
        <f>MIN(SUMIF(INGREDIENTI!$B$2:$B$114,E13,INGREDIENTI!$D$2:$D$114),SUMIF(INGREDIENTI!$B$2:$B$114,F13,INGREDIENTI!$D$2:$D$114),SUMIF(INGREDIENTI!$B$2:$B$114,G13,INGREDIENTI!$D$2:$D$114),SUMIF(INGREDIENTI!$B$2:$B$114,H13,INGREDIENTI!$D$2:$D$114),SUMIF(INGREDIENTI!$B$2:$B$114,I13,INGREDIENTI!$D$2:$D$114),SUMIF(INGREDIENTI!$B$2:$B$114,J13,INGREDIENTI!$D$2:$D$114),SUMIF(INGREDIENTI!$B$2:$B$114,K13,INGREDIENTI!$D$2:$D$114),SUMIF(INGREDIENTI!$B$2:$B$114,L13,INGREDIENTI!$D$2:$D$114))</f>
        <v>0</v>
      </c>
      <c r="C13" s="22" t="s">
        <v>30</v>
      </c>
      <c r="D13" s="23" t="s">
        <v>71</v>
      </c>
      <c r="E13" s="24" t="s">
        <v>72</v>
      </c>
      <c r="F13" s="24" t="s">
        <v>28</v>
      </c>
      <c r="G13" s="24" t="s">
        <v>45</v>
      </c>
      <c r="H13" s="24" t="s">
        <v>55</v>
      </c>
      <c r="I13" s="24" t="s">
        <v>49</v>
      </c>
      <c r="J13" s="24" t="s">
        <v>73</v>
      </c>
      <c r="K13" s="24" t="s">
        <v>27</v>
      </c>
      <c r="L13" s="24" t="s">
        <v>28</v>
      </c>
      <c r="M13" s="26" t="str">
        <f t="shared" si="1"/>
        <v/>
      </c>
      <c r="N13" s="27"/>
      <c r="O13" s="28">
        <f>SUMIF( 'TOTALI PIZZE'!A:A,D13,'TOTALI PIZZE'!B:B)</f>
        <v>9</v>
      </c>
      <c r="P13" s="29" t="s">
        <v>74</v>
      </c>
      <c r="Q13" s="30" t="str">
        <f>if(SUMIF(  'TOTALI PIZZE'!A:A,D13,'TOTALI PIZZE'!B:B)=0,"NEW","")</f>
        <v/>
      </c>
    </row>
    <row r="14" ht="15.75" customHeight="1">
      <c r="A14" s="20"/>
      <c r="B14" s="21">
        <f>MIN(SUMIF(INGREDIENTI!$B$2:$B$114,E14,INGREDIENTI!$D$2:$D$114),SUMIF(INGREDIENTI!$B$2:$B$114,F14,INGREDIENTI!$D$2:$D$114),SUMIF(INGREDIENTI!$B$2:$B$114,G14,INGREDIENTI!$D$2:$D$114),SUMIF(INGREDIENTI!$B$2:$B$114,H14,INGREDIENTI!$D$2:$D$114),SUMIF(INGREDIENTI!$B$2:$B$114,I14,INGREDIENTI!$D$2:$D$114),SUMIF(INGREDIENTI!$B$2:$B$114,J14,INGREDIENTI!$D$2:$D$114),SUMIF(INGREDIENTI!$B$2:$B$114,K14,INGREDIENTI!$D$2:$D$114),SUMIF(INGREDIENTI!$B$2:$B$114,L14,INGREDIENTI!$D$2:$D$114))</f>
        <v>0</v>
      </c>
      <c r="C14" s="22" t="s">
        <v>30</v>
      </c>
      <c r="D14" s="23" t="s">
        <v>75</v>
      </c>
      <c r="E14" s="24" t="s">
        <v>28</v>
      </c>
      <c r="F14" s="24" t="s">
        <v>28</v>
      </c>
      <c r="G14" s="24" t="s">
        <v>76</v>
      </c>
      <c r="H14" s="24" t="s">
        <v>32</v>
      </c>
      <c r="I14" s="24" t="s">
        <v>77</v>
      </c>
      <c r="J14" s="24" t="s">
        <v>78</v>
      </c>
      <c r="K14" s="24" t="s">
        <v>28</v>
      </c>
      <c r="L14" s="24" t="s">
        <v>28</v>
      </c>
      <c r="M14" s="26" t="str">
        <f t="shared" si="1"/>
        <v/>
      </c>
      <c r="N14" s="27"/>
      <c r="O14" s="28">
        <f>SUMIF( 'TOTALI PIZZE'!A:A,D14,'TOTALI PIZZE'!B:B)</f>
        <v>0</v>
      </c>
      <c r="P14" s="29" t="s">
        <v>79</v>
      </c>
      <c r="Q14" s="30" t="str">
        <f>if(SUMIF(  'TOTALI PIZZE'!A:A,D14,'TOTALI PIZZE'!B:B)=0,"NEW","")</f>
        <v>NEW</v>
      </c>
    </row>
    <row r="15" ht="15.75" customHeight="1">
      <c r="A15" s="20"/>
      <c r="B15" s="21">
        <f>MIN(SUMIF(INGREDIENTI!$B$2:$B$114,E15,INGREDIENTI!$D$2:$D$114),SUMIF(INGREDIENTI!$B$2:$B$114,F15,INGREDIENTI!$D$2:$D$114),SUMIF(INGREDIENTI!$B$2:$B$114,G15,INGREDIENTI!$D$2:$D$114),SUMIF(INGREDIENTI!$B$2:$B$114,H15,INGREDIENTI!$D$2:$D$114),SUMIF(INGREDIENTI!$B$2:$B$114,I15,INGREDIENTI!$D$2:$D$114),SUMIF(INGREDIENTI!$B$2:$B$114,J15,INGREDIENTI!$D$2:$D$114),SUMIF(INGREDIENTI!$B$2:$B$114,K15,INGREDIENTI!$D$2:$D$114),SUMIF(INGREDIENTI!$B$2:$B$114,L15,INGREDIENTI!$D$2:$D$114))</f>
        <v>0</v>
      </c>
      <c r="C15" s="22" t="s">
        <v>30</v>
      </c>
      <c r="D15" s="23" t="s">
        <v>80</v>
      </c>
      <c r="E15" s="24" t="s">
        <v>24</v>
      </c>
      <c r="F15" s="24" t="s">
        <v>28</v>
      </c>
      <c r="G15" s="24" t="s">
        <v>81</v>
      </c>
      <c r="H15" s="24" t="s">
        <v>82</v>
      </c>
      <c r="I15" s="24" t="s">
        <v>28</v>
      </c>
      <c r="J15" s="24" t="s">
        <v>28</v>
      </c>
      <c r="K15" s="24" t="s">
        <v>28</v>
      </c>
      <c r="L15" s="24" t="s">
        <v>28</v>
      </c>
      <c r="M15" s="26" t="str">
        <f t="shared" si="1"/>
        <v/>
      </c>
      <c r="N15" s="27"/>
      <c r="O15" s="28">
        <f>SUMIF( 'TOTALI PIZZE'!A:A,D15,'TOTALI PIZZE'!B:B)</f>
        <v>0</v>
      </c>
      <c r="P15" s="29" t="s">
        <v>83</v>
      </c>
      <c r="Q15" s="30" t="str">
        <f>if(SUMIF(  'TOTALI PIZZE'!A:A,D15,'TOTALI PIZZE'!B:B)=0,"NEW","")</f>
        <v>NEW</v>
      </c>
    </row>
    <row r="16" ht="15.75" customHeight="1">
      <c r="A16" s="20"/>
      <c r="B16" s="21">
        <f>MIN(SUMIF(INGREDIENTI!$B$2:$B$114,E16,INGREDIENTI!$D$2:$D$114),SUMIF(INGREDIENTI!$B$2:$B$114,F16,INGREDIENTI!$D$2:$D$114),SUMIF(INGREDIENTI!$B$2:$B$114,G16,INGREDIENTI!$D$2:$D$114),SUMIF(INGREDIENTI!$B$2:$B$114,H16,INGREDIENTI!$D$2:$D$114),SUMIF(INGREDIENTI!$B$2:$B$114,I16,INGREDIENTI!$D$2:$D$114),SUMIF(INGREDIENTI!$B$2:$B$114,J16,INGREDIENTI!$D$2:$D$114),SUMIF(INGREDIENTI!$B$2:$B$114,K16,INGREDIENTI!$D$2:$D$114),SUMIF(INGREDIENTI!$B$2:$B$114,L16,INGREDIENTI!$D$2:$D$114))</f>
        <v>0</v>
      </c>
      <c r="C16" s="22" t="s">
        <v>30</v>
      </c>
      <c r="D16" s="23" t="s">
        <v>84</v>
      </c>
      <c r="E16" s="24" t="s">
        <v>28</v>
      </c>
      <c r="F16" s="24" t="s">
        <v>28</v>
      </c>
      <c r="G16" s="24" t="s">
        <v>85</v>
      </c>
      <c r="H16" s="24" t="s">
        <v>86</v>
      </c>
      <c r="I16" s="24" t="s">
        <v>48</v>
      </c>
      <c r="J16" s="24" t="s">
        <v>87</v>
      </c>
      <c r="K16" s="24" t="s">
        <v>36</v>
      </c>
      <c r="L16" s="24" t="s">
        <v>28</v>
      </c>
      <c r="M16" s="26" t="str">
        <f t="shared" si="1"/>
        <v/>
      </c>
      <c r="N16" s="27"/>
      <c r="O16" s="28">
        <f>SUMIF( 'TOTALI PIZZE'!A:A,D16,'TOTALI PIZZE'!B:B)</f>
        <v>0</v>
      </c>
      <c r="P16" s="29" t="s">
        <v>88</v>
      </c>
      <c r="Q16" s="30" t="str">
        <f>if(SUMIF(  'TOTALI PIZZE'!A:A,D16,'TOTALI PIZZE'!B:B)=0,"NEW","")</f>
        <v>NEW</v>
      </c>
    </row>
    <row r="17" ht="15.75" customHeight="1">
      <c r="A17" s="20"/>
      <c r="B17" s="21">
        <f>MIN(SUMIF(INGREDIENTI!$B$2:$B$114,E17,INGREDIENTI!$D$2:$D$114),SUMIF(INGREDIENTI!$B$2:$B$114,F17,INGREDIENTI!$D$2:$D$114),SUMIF(INGREDIENTI!$B$2:$B$114,G17,INGREDIENTI!$D$2:$D$114),SUMIF(INGREDIENTI!$B$2:$B$114,H17,INGREDIENTI!$D$2:$D$114),SUMIF(INGREDIENTI!$B$2:$B$114,I17,INGREDIENTI!$D$2:$D$114),SUMIF(INGREDIENTI!$B$2:$B$114,J17,INGREDIENTI!$D$2:$D$114),SUMIF(INGREDIENTI!$B$2:$B$114,K17,INGREDIENTI!$D$2:$D$114),SUMIF(INGREDIENTI!$B$2:$B$114,L17,INGREDIENTI!$D$2:$D$114))</f>
        <v>0</v>
      </c>
      <c r="C17" s="22" t="s">
        <v>30</v>
      </c>
      <c r="D17" s="23" t="s">
        <v>89</v>
      </c>
      <c r="E17" s="24" t="s">
        <v>28</v>
      </c>
      <c r="F17" s="24" t="s">
        <v>28</v>
      </c>
      <c r="G17" s="24" t="s">
        <v>90</v>
      </c>
      <c r="H17" s="24" t="s">
        <v>91</v>
      </c>
      <c r="I17" s="24" t="s">
        <v>92</v>
      </c>
      <c r="J17" s="24" t="s">
        <v>28</v>
      </c>
      <c r="K17" s="24" t="s">
        <v>28</v>
      </c>
      <c r="L17" s="24" t="s">
        <v>28</v>
      </c>
      <c r="M17" s="26" t="str">
        <f t="shared" si="1"/>
        <v/>
      </c>
      <c r="N17" s="27"/>
      <c r="O17" s="28">
        <f>SUMIF( 'TOTALI PIZZE'!A:A,D17,'TOTALI PIZZE'!B:B)</f>
        <v>0</v>
      </c>
      <c r="P17" s="29" t="s">
        <v>93</v>
      </c>
      <c r="Q17" s="30" t="str">
        <f>if(SUMIF(  'TOTALI PIZZE'!A:A,D17,'TOTALI PIZZE'!B:B)=0,"NEW","")</f>
        <v>NEW</v>
      </c>
    </row>
    <row r="18" ht="15.75" customHeight="1">
      <c r="A18" s="20"/>
      <c r="B18" s="21">
        <f>MIN(SUMIF(INGREDIENTI!$B$2:$B$114,E18,INGREDIENTI!$D$2:$D$114),SUMIF(INGREDIENTI!$B$2:$B$114,F18,INGREDIENTI!$D$2:$D$114),SUMIF(INGREDIENTI!$B$2:$B$114,G18,INGREDIENTI!$D$2:$D$114),SUMIF(INGREDIENTI!$B$2:$B$114,H18,INGREDIENTI!$D$2:$D$114),SUMIF(INGREDIENTI!$B$2:$B$114,I18,INGREDIENTI!$D$2:$D$114),SUMIF(INGREDIENTI!$B$2:$B$114,J18,INGREDIENTI!$D$2:$D$114),SUMIF(INGREDIENTI!$B$2:$B$114,K18,INGREDIENTI!$D$2:$D$114),SUMIF(INGREDIENTI!$B$2:$B$114,L18,INGREDIENTI!$D$2:$D$114))</f>
        <v>0</v>
      </c>
      <c r="C18" s="32" t="s">
        <v>30</v>
      </c>
      <c r="D18" s="33" t="s">
        <v>94</v>
      </c>
      <c r="E18" s="25" t="s">
        <v>24</v>
      </c>
      <c r="F18" s="25" t="s">
        <v>28</v>
      </c>
      <c r="G18" s="25" t="s">
        <v>95</v>
      </c>
      <c r="H18" s="25" t="s">
        <v>34</v>
      </c>
      <c r="I18" s="25" t="s">
        <v>96</v>
      </c>
      <c r="J18" s="25" t="s">
        <v>28</v>
      </c>
      <c r="K18" s="25" t="s">
        <v>28</v>
      </c>
      <c r="L18" s="25" t="s">
        <v>28</v>
      </c>
      <c r="M18" s="26" t="str">
        <f t="shared" si="1"/>
        <v/>
      </c>
      <c r="N18" s="34"/>
      <c r="O18" s="28">
        <f>SUMIF( 'TOTALI PIZZE'!A:A,D18,'TOTALI PIZZE'!B:B)</f>
        <v>1</v>
      </c>
      <c r="P18" s="29"/>
      <c r="Q18" s="30" t="str">
        <f>if(SUMIF(  'TOTALI PIZZE'!A:A,D18,'TOTALI PIZZE'!B:B)=0,"NEW","")</f>
        <v/>
      </c>
    </row>
    <row r="19" ht="15.75" customHeight="1">
      <c r="A19" s="20"/>
      <c r="B19" s="21">
        <f>MIN(SUMIF(INGREDIENTI!$B$2:$B$114,E19,INGREDIENTI!$D$2:$D$114),SUMIF(INGREDIENTI!$B$2:$B$114,F19,INGREDIENTI!$D$2:$D$114),SUMIF(INGREDIENTI!$B$2:$B$114,G19,INGREDIENTI!$D$2:$D$114),SUMIF(INGREDIENTI!$B$2:$B$114,H19,INGREDIENTI!$D$2:$D$114),SUMIF(INGREDIENTI!$B$2:$B$114,I19,INGREDIENTI!$D$2:$D$114),SUMIF(INGREDIENTI!$B$2:$B$114,J19,INGREDIENTI!$D$2:$D$114),SUMIF(INGREDIENTI!$B$2:$B$114,K19,INGREDIENTI!$D$2:$D$114),SUMIF(INGREDIENTI!$B$2:$B$114,L19,INGREDIENTI!$D$2:$D$114))</f>
        <v>0</v>
      </c>
      <c r="C19" s="22" t="s">
        <v>30</v>
      </c>
      <c r="D19" s="23" t="s">
        <v>97</v>
      </c>
      <c r="E19" s="24" t="s">
        <v>28</v>
      </c>
      <c r="F19" s="25" t="s">
        <v>25</v>
      </c>
      <c r="G19" s="35" t="s">
        <v>34</v>
      </c>
      <c r="H19" s="24" t="s">
        <v>98</v>
      </c>
      <c r="I19" s="24" t="s">
        <v>35</v>
      </c>
      <c r="J19" s="24" t="s">
        <v>28</v>
      </c>
      <c r="K19" s="24" t="s">
        <v>28</v>
      </c>
      <c r="L19" s="24" t="s">
        <v>28</v>
      </c>
      <c r="M19" s="26" t="str">
        <f t="shared" si="1"/>
        <v/>
      </c>
      <c r="N19" s="36"/>
      <c r="O19" s="28">
        <f>SUMIF( 'TOTALI PIZZE'!A:A,D19,'TOTALI PIZZE'!B:B)</f>
        <v>0</v>
      </c>
      <c r="P19" s="29"/>
      <c r="Q19" s="30" t="str">
        <f>if(SUMIF(  'TOTALI PIZZE'!A:A,D19,'TOTALI PIZZE'!B:B)=0,"NEW","")</f>
        <v>NEW</v>
      </c>
    </row>
    <row r="20" ht="15.75" customHeight="1">
      <c r="A20" s="20"/>
      <c r="B20" s="21">
        <f>MIN(SUMIF(INGREDIENTI!$B$2:$B$114,E20,INGREDIENTI!$D$2:$D$114),SUMIF(INGREDIENTI!$B$2:$B$114,F20,INGREDIENTI!$D$2:$D$114),SUMIF(INGREDIENTI!$B$2:$B$114,G20,INGREDIENTI!$D$2:$D$114),SUMIF(INGREDIENTI!$B$2:$B$114,H20,INGREDIENTI!$D$2:$D$114),SUMIF(INGREDIENTI!$B$2:$B$114,I20,INGREDIENTI!$D$2:$D$114),SUMIF(INGREDIENTI!$B$2:$B$114,J20,INGREDIENTI!$D$2:$D$114),SUMIF(INGREDIENTI!$B$2:$B$114,K20,INGREDIENTI!$D$2:$D$114),SUMIF(INGREDIENTI!$B$2:$B$114,L20,INGREDIENTI!$D$2:$D$114))</f>
        <v>0</v>
      </c>
      <c r="C20" s="22" t="s">
        <v>30</v>
      </c>
      <c r="D20" s="23" t="s">
        <v>99</v>
      </c>
      <c r="E20" s="24" t="s">
        <v>24</v>
      </c>
      <c r="F20" s="25" t="s">
        <v>25</v>
      </c>
      <c r="G20" s="24" t="s">
        <v>100</v>
      </c>
      <c r="H20" s="24" t="s">
        <v>101</v>
      </c>
      <c r="I20" s="24" t="s">
        <v>36</v>
      </c>
      <c r="J20" s="24" t="s">
        <v>28</v>
      </c>
      <c r="K20" s="24" t="s">
        <v>28</v>
      </c>
      <c r="L20" s="24" t="s">
        <v>28</v>
      </c>
      <c r="M20" s="26" t="str">
        <f t="shared" si="1"/>
        <v/>
      </c>
      <c r="N20" s="27"/>
      <c r="O20" s="28">
        <f>SUMIF( 'TOTALI PIZZE'!A:A,D20,'TOTALI PIZZE'!B:B)</f>
        <v>0</v>
      </c>
      <c r="P20" s="29"/>
      <c r="Q20" s="30" t="str">
        <f>if(SUMIF(  'TOTALI PIZZE'!A:A,D20,'TOTALI PIZZE'!B:B)=0,"NEW","")</f>
        <v>NEW</v>
      </c>
    </row>
    <row r="21" ht="15.75" customHeight="1">
      <c r="A21" s="20"/>
      <c r="B21" s="21">
        <f>MIN(SUMIF(INGREDIENTI!$B$2:$B$114,E21,INGREDIENTI!$D$2:$D$114),SUMIF(INGREDIENTI!$B$2:$B$114,F21,INGREDIENTI!$D$2:$D$114),SUMIF(INGREDIENTI!$B$2:$B$114,G21,INGREDIENTI!$D$2:$D$114),SUMIF(INGREDIENTI!$B$2:$B$114,H21,INGREDIENTI!$D$2:$D$114),SUMIF(INGREDIENTI!$B$2:$B$114,I21,INGREDIENTI!$D$2:$D$114),SUMIF(INGREDIENTI!$B$2:$B$114,J21,INGREDIENTI!$D$2:$D$114),SUMIF(INGREDIENTI!$B$2:$B$114,K21,INGREDIENTI!$D$2:$D$114),SUMIF(INGREDIENTI!$B$2:$B$114,L21,INGREDIENTI!$D$2:$D$114))</f>
        <v>0</v>
      </c>
      <c r="C21" s="22" t="s">
        <v>30</v>
      </c>
      <c r="D21" s="23" t="s">
        <v>102</v>
      </c>
      <c r="E21" s="24" t="s">
        <v>28</v>
      </c>
      <c r="F21" s="25" t="s">
        <v>25</v>
      </c>
      <c r="G21" s="24" t="s">
        <v>103</v>
      </c>
      <c r="H21" s="24" t="s">
        <v>104</v>
      </c>
      <c r="I21" s="24" t="s">
        <v>34</v>
      </c>
      <c r="J21" s="24" t="s">
        <v>28</v>
      </c>
      <c r="K21" s="24" t="s">
        <v>28</v>
      </c>
      <c r="L21" s="24" t="s">
        <v>28</v>
      </c>
      <c r="M21" s="26" t="str">
        <f t="shared" si="1"/>
        <v/>
      </c>
      <c r="N21" s="27"/>
      <c r="O21" s="28">
        <f>SUMIF( 'TOTALI PIZZE'!A:A,D21,'TOTALI PIZZE'!B:B)</f>
        <v>2</v>
      </c>
      <c r="P21" s="29" t="s">
        <v>105</v>
      </c>
      <c r="Q21" s="30" t="str">
        <f>if(SUMIF(  'TOTALI PIZZE'!A:A,D21,'TOTALI PIZZE'!B:B)=0,"NEW","")</f>
        <v/>
      </c>
      <c r="R21" s="37"/>
      <c r="T21" s="37"/>
      <c r="U21" s="37"/>
      <c r="V21" s="37"/>
      <c r="W21" s="37"/>
      <c r="X21" s="37"/>
      <c r="Y21" s="37"/>
      <c r="Z21" s="37"/>
      <c r="AA21" s="37"/>
      <c r="AB21" s="37"/>
    </row>
    <row r="22" ht="15.75" customHeight="1">
      <c r="A22" s="20"/>
      <c r="B22" s="21">
        <f>MIN(SUMIF(INGREDIENTI!$B$2:$B$114,E22,INGREDIENTI!$D$2:$D$114),SUMIF(INGREDIENTI!$B$2:$B$114,F22,INGREDIENTI!$D$2:$D$114),SUMIF(INGREDIENTI!$B$2:$B$114,G22,INGREDIENTI!$D$2:$D$114),SUMIF(INGREDIENTI!$B$2:$B$114,H22,INGREDIENTI!$D$2:$D$114),SUMIF(INGREDIENTI!$B$2:$B$114,I22,INGREDIENTI!$D$2:$D$114),SUMIF(INGREDIENTI!$B$2:$B$114,J22,INGREDIENTI!$D$2:$D$114),SUMIF(INGREDIENTI!$B$2:$B$114,K22,INGREDIENTI!$D$2:$D$114),SUMIF(INGREDIENTI!$B$2:$B$114,L22,INGREDIENTI!$D$2:$D$114))</f>
        <v>0</v>
      </c>
      <c r="C22" s="22" t="s">
        <v>30</v>
      </c>
      <c r="D22" s="23" t="s">
        <v>106</v>
      </c>
      <c r="E22" s="24" t="s">
        <v>28</v>
      </c>
      <c r="F22" s="24" t="s">
        <v>25</v>
      </c>
      <c r="G22" s="24" t="s">
        <v>107</v>
      </c>
      <c r="H22" s="24" t="s">
        <v>108</v>
      </c>
      <c r="I22" s="24" t="s">
        <v>36</v>
      </c>
      <c r="J22" s="24" t="s">
        <v>28</v>
      </c>
      <c r="K22" s="24" t="s">
        <v>28</v>
      </c>
      <c r="L22" s="24" t="s">
        <v>28</v>
      </c>
      <c r="M22" s="26" t="str">
        <f t="shared" si="1"/>
        <v/>
      </c>
      <c r="N22" s="27"/>
      <c r="O22" s="28">
        <f>SUMIF( 'TOTALI PIZZE'!A:A,D22,'TOTALI PIZZE'!B:B)</f>
        <v>0</v>
      </c>
      <c r="P22" s="29"/>
      <c r="Q22" s="30" t="str">
        <f>if(SUMIF(  'TOTALI PIZZE'!A:A,D22,'TOTALI PIZZE'!B:B)=0,"NEW","")</f>
        <v>NEW</v>
      </c>
      <c r="R22" s="37"/>
      <c r="T22" s="37"/>
      <c r="U22" s="37"/>
      <c r="V22" s="37"/>
      <c r="W22" s="37"/>
      <c r="X22" s="37"/>
      <c r="Y22" s="37"/>
      <c r="Z22" s="37"/>
      <c r="AA22" s="37"/>
      <c r="AB22" s="37"/>
    </row>
    <row r="23" ht="15.75" customHeight="1">
      <c r="A23" s="20"/>
      <c r="B23" s="21">
        <f>MIN(SUMIF(INGREDIENTI!$B$2:$B$114,E23,INGREDIENTI!$D$2:$D$114),SUMIF(INGREDIENTI!$B$2:$B$114,F23,INGREDIENTI!$D$2:$D$114),SUMIF(INGREDIENTI!$B$2:$B$114,G23,INGREDIENTI!$D$2:$D$114),SUMIF(INGREDIENTI!$B$2:$B$114,H23,INGREDIENTI!$D$2:$D$114),SUMIF(INGREDIENTI!$B$2:$B$114,I23,INGREDIENTI!$D$2:$D$114),SUMIF(INGREDIENTI!$B$2:$B$114,J23,INGREDIENTI!$D$2:$D$114),SUMIF(INGREDIENTI!$B$2:$B$114,K23,INGREDIENTI!$D$2:$D$114),SUMIF(INGREDIENTI!$B$2:$B$114,L23,INGREDIENTI!$D$2:$D$114))</f>
        <v>0</v>
      </c>
      <c r="C23" s="22" t="s">
        <v>30</v>
      </c>
      <c r="D23" s="23" t="s">
        <v>109</v>
      </c>
      <c r="E23" s="24" t="s">
        <v>28</v>
      </c>
      <c r="F23" s="24" t="s">
        <v>28</v>
      </c>
      <c r="G23" s="24" t="s">
        <v>53</v>
      </c>
      <c r="H23" s="24" t="s">
        <v>55</v>
      </c>
      <c r="I23" s="24" t="s">
        <v>34</v>
      </c>
      <c r="J23" s="24" t="s">
        <v>104</v>
      </c>
      <c r="K23" s="24" t="s">
        <v>35</v>
      </c>
      <c r="L23" s="24" t="s">
        <v>28</v>
      </c>
      <c r="M23" s="26" t="str">
        <f t="shared" si="1"/>
        <v/>
      </c>
      <c r="N23" s="27"/>
      <c r="O23" s="28">
        <f>SUMIF( 'TOTALI PIZZE'!A:A,D23,'TOTALI PIZZE'!B:B)</f>
        <v>0</v>
      </c>
      <c r="P23" s="29"/>
      <c r="Q23" s="30" t="str">
        <f>if(SUMIF(  'TOTALI PIZZE'!A:A,D23,'TOTALI PIZZE'!B:B)=0,"NEW","")</f>
        <v>NEW</v>
      </c>
      <c r="R23" s="37"/>
      <c r="T23" s="37"/>
      <c r="U23" s="37"/>
      <c r="V23" s="37"/>
      <c r="W23" s="37"/>
      <c r="X23" s="37"/>
      <c r="Y23" s="37"/>
      <c r="Z23" s="37"/>
      <c r="AA23" s="37"/>
      <c r="AB23" s="37"/>
    </row>
    <row r="24" ht="15.75" customHeight="1">
      <c r="A24" s="20"/>
      <c r="B24" s="21">
        <f>MIN(SUMIF(INGREDIENTI!$B$2:$B$114,E24,INGREDIENTI!$D$2:$D$114),SUMIF(INGREDIENTI!$B$2:$B$114,F24,INGREDIENTI!$D$2:$D$114),SUMIF(INGREDIENTI!$B$2:$B$114,G24,INGREDIENTI!$D$2:$D$114),SUMIF(INGREDIENTI!$B$2:$B$114,H24,INGREDIENTI!$D$2:$D$114),SUMIF(INGREDIENTI!$B$2:$B$114,I24,INGREDIENTI!$D$2:$D$114),SUMIF(INGREDIENTI!$B$2:$B$114,J24,INGREDIENTI!$D$2:$D$114),SUMIF(INGREDIENTI!$B$2:$B$114,K24,INGREDIENTI!$D$2:$D$114),SUMIF(INGREDIENTI!$B$2:$B$114,L24,INGREDIENTI!$D$2:$D$114))</f>
        <v>0</v>
      </c>
      <c r="C24" s="22" t="s">
        <v>30</v>
      </c>
      <c r="D24" s="23" t="s">
        <v>110</v>
      </c>
      <c r="E24" s="24" t="s">
        <v>24</v>
      </c>
      <c r="F24" s="25" t="s">
        <v>25</v>
      </c>
      <c r="G24" s="35" t="s">
        <v>34</v>
      </c>
      <c r="H24" s="24" t="s">
        <v>111</v>
      </c>
      <c r="I24" s="24" t="s">
        <v>28</v>
      </c>
      <c r="J24" s="24" t="s">
        <v>28</v>
      </c>
      <c r="K24" s="24" t="s">
        <v>28</v>
      </c>
      <c r="L24" s="24" t="s">
        <v>28</v>
      </c>
      <c r="M24" s="26" t="str">
        <f t="shared" si="1"/>
        <v/>
      </c>
      <c r="N24" s="27"/>
      <c r="O24" s="28">
        <f>SUMIF( 'TOTALI PIZZE'!A:A,D24,'TOTALI PIZZE'!B:B)</f>
        <v>0</v>
      </c>
      <c r="P24" s="29"/>
      <c r="Q24" s="30" t="str">
        <f>if(SUMIF(  'TOTALI PIZZE'!A:A,D24,'TOTALI PIZZE'!B:B)=0,"NEW","")</f>
        <v>NEW</v>
      </c>
      <c r="R24" s="37"/>
      <c r="T24" s="37"/>
      <c r="U24" s="37"/>
      <c r="V24" s="37"/>
      <c r="W24" s="37"/>
      <c r="X24" s="37"/>
      <c r="Y24" s="37"/>
      <c r="Z24" s="37"/>
      <c r="AA24" s="37"/>
      <c r="AB24" s="37"/>
    </row>
    <row r="25" ht="15.75" customHeight="1">
      <c r="A25" s="20"/>
      <c r="B25" s="21">
        <f>MIN(SUMIF(INGREDIENTI!$B$2:$B$114,E25,INGREDIENTI!$D$2:$D$114),SUMIF(INGREDIENTI!$B$2:$B$114,F25,INGREDIENTI!$D$2:$D$114),SUMIF(INGREDIENTI!$B$2:$B$114,G25,INGREDIENTI!$D$2:$D$114),SUMIF(INGREDIENTI!$B$2:$B$114,H25,INGREDIENTI!$D$2:$D$114),SUMIF(INGREDIENTI!$B$2:$B$114,I25,INGREDIENTI!$D$2:$D$114),SUMIF(INGREDIENTI!$B$2:$B$114,J25,INGREDIENTI!$D$2:$D$114),SUMIF(INGREDIENTI!$B$2:$B$114,K25,INGREDIENTI!$D$2:$D$114),SUMIF(INGREDIENTI!$B$2:$B$114,L25,INGREDIENTI!$D$2:$D$114))</f>
        <v>0</v>
      </c>
      <c r="C25" s="22" t="s">
        <v>30</v>
      </c>
      <c r="D25" s="23" t="s">
        <v>112</v>
      </c>
      <c r="E25" s="24" t="s">
        <v>72</v>
      </c>
      <c r="F25" s="24" t="s">
        <v>28</v>
      </c>
      <c r="G25" s="24" t="s">
        <v>113</v>
      </c>
      <c r="H25" s="24" t="s">
        <v>114</v>
      </c>
      <c r="I25" s="24" t="s">
        <v>50</v>
      </c>
      <c r="J25" s="24" t="s">
        <v>55</v>
      </c>
      <c r="K25" s="24" t="s">
        <v>28</v>
      </c>
      <c r="L25" s="24" t="s">
        <v>28</v>
      </c>
      <c r="M25" s="26" t="str">
        <f t="shared" si="1"/>
        <v/>
      </c>
      <c r="N25" s="27"/>
      <c r="O25" s="28">
        <f>SUMIF( 'TOTALI PIZZE'!A:A,D25,'TOTALI PIZZE'!B:B)</f>
        <v>1</v>
      </c>
      <c r="P25" s="29" t="s">
        <v>115</v>
      </c>
      <c r="Q25" s="30" t="str">
        <f>if(SUMIF(  'TOTALI PIZZE'!A:A,D25,'TOTALI PIZZE'!B:B)=0,"NEW","")</f>
        <v/>
      </c>
      <c r="R25" s="37"/>
      <c r="T25" s="37"/>
      <c r="U25" s="37"/>
      <c r="V25" s="37"/>
      <c r="W25" s="37"/>
      <c r="X25" s="37"/>
      <c r="Y25" s="37"/>
      <c r="Z25" s="37"/>
      <c r="AA25" s="37"/>
      <c r="AB25" s="37"/>
    </row>
    <row r="26" ht="15.75" customHeight="1">
      <c r="A26" s="20"/>
      <c r="B26" s="21">
        <f>MIN(SUMIF(INGREDIENTI!$B$2:$B$114,E26,INGREDIENTI!$D$2:$D$114),SUMIF(INGREDIENTI!$B$2:$B$114,F26,INGREDIENTI!$D$2:$D$114),SUMIF(INGREDIENTI!$B$2:$B$114,G26,INGREDIENTI!$D$2:$D$114),SUMIF(INGREDIENTI!$B$2:$B$114,H26,INGREDIENTI!$D$2:$D$114),SUMIF(INGREDIENTI!$B$2:$B$114,I26,INGREDIENTI!$D$2:$D$114),SUMIF(INGREDIENTI!$B$2:$B$114,J26,INGREDIENTI!$D$2:$D$114),SUMIF(INGREDIENTI!$B$2:$B$114,K26,INGREDIENTI!$D$2:$D$114),SUMIF(INGREDIENTI!$B$2:$B$114,L26,INGREDIENTI!$D$2:$D$114))</f>
        <v>0</v>
      </c>
      <c r="C26" s="22" t="s">
        <v>30</v>
      </c>
      <c r="D26" s="23" t="s">
        <v>116</v>
      </c>
      <c r="E26" s="24" t="s">
        <v>28</v>
      </c>
      <c r="F26" s="24" t="s">
        <v>28</v>
      </c>
      <c r="G26" s="24" t="s">
        <v>117</v>
      </c>
      <c r="H26" s="24" t="s">
        <v>48</v>
      </c>
      <c r="I26" s="24" t="s">
        <v>118</v>
      </c>
      <c r="J26" s="24" t="s">
        <v>119</v>
      </c>
      <c r="K26" s="24" t="s">
        <v>28</v>
      </c>
      <c r="L26" s="24" t="s">
        <v>28</v>
      </c>
      <c r="M26" s="26" t="str">
        <f t="shared" si="1"/>
        <v/>
      </c>
      <c r="N26" s="27"/>
      <c r="O26" s="28">
        <f>SUMIF( 'TOTALI PIZZE'!A:A,D26,'TOTALI PIZZE'!B:B)</f>
        <v>1</v>
      </c>
      <c r="P26" s="29" t="s">
        <v>120</v>
      </c>
      <c r="Q26" s="30" t="str">
        <f>if(SUMIF(  'TOTALI PIZZE'!A:A,D26,'TOTALI PIZZE'!B:B)=0,"NEW","")</f>
        <v/>
      </c>
      <c r="R26" s="37"/>
      <c r="T26" s="37"/>
      <c r="U26" s="37"/>
      <c r="V26" s="37"/>
      <c r="W26" s="37"/>
      <c r="X26" s="37"/>
      <c r="Y26" s="37"/>
      <c r="Z26" s="37"/>
      <c r="AA26" s="37"/>
      <c r="AB26" s="37"/>
    </row>
    <row r="27" ht="15.75" customHeight="1">
      <c r="A27" s="20"/>
      <c r="B27" s="21">
        <f>MIN(SUMIF(INGREDIENTI!$B$2:$B$114,E27,INGREDIENTI!$D$2:$D$114),SUMIF(INGREDIENTI!$B$2:$B$114,F27,INGREDIENTI!$D$2:$D$114),SUMIF(INGREDIENTI!$B$2:$B$114,G27,INGREDIENTI!$D$2:$D$114),SUMIF(INGREDIENTI!$B$2:$B$114,H27,INGREDIENTI!$D$2:$D$114),SUMIF(INGREDIENTI!$B$2:$B$114,I27,INGREDIENTI!$D$2:$D$114),SUMIF(INGREDIENTI!$B$2:$B$114,J27,INGREDIENTI!$D$2:$D$114),SUMIF(INGREDIENTI!$B$2:$B$114,K27,INGREDIENTI!$D$2:$D$114),SUMIF(INGREDIENTI!$B$2:$B$114,L27,INGREDIENTI!$D$2:$D$114))</f>
        <v>0</v>
      </c>
      <c r="C27" s="22" t="s">
        <v>30</v>
      </c>
      <c r="D27" s="23" t="s">
        <v>121</v>
      </c>
      <c r="E27" s="24" t="s">
        <v>24</v>
      </c>
      <c r="F27" s="24" t="s">
        <v>28</v>
      </c>
      <c r="G27" s="24" t="s">
        <v>66</v>
      </c>
      <c r="H27" s="24" t="s">
        <v>48</v>
      </c>
      <c r="I27" s="24" t="s">
        <v>100</v>
      </c>
      <c r="J27" s="24" t="s">
        <v>36</v>
      </c>
      <c r="K27" s="24" t="s">
        <v>28</v>
      </c>
      <c r="L27" s="24" t="s">
        <v>28</v>
      </c>
      <c r="M27" s="26" t="str">
        <f t="shared" si="1"/>
        <v/>
      </c>
      <c r="N27" s="27"/>
      <c r="O27" s="28">
        <f>SUMIF( 'TOTALI PIZZE'!A:A,D27,'TOTALI PIZZE'!B:B)</f>
        <v>1</v>
      </c>
      <c r="P27" s="29" t="s">
        <v>122</v>
      </c>
      <c r="Q27" s="30" t="str">
        <f>if(SUMIF(  'TOTALI PIZZE'!A:A,D27,'TOTALI PIZZE'!B:B)=0,"NEW","")</f>
        <v/>
      </c>
      <c r="R27" s="37"/>
      <c r="T27" s="37"/>
      <c r="U27" s="37"/>
      <c r="V27" s="37"/>
      <c r="W27" s="37"/>
      <c r="X27" s="37"/>
      <c r="Y27" s="37"/>
      <c r="Z27" s="37"/>
      <c r="AA27" s="37"/>
      <c r="AB27" s="37"/>
    </row>
    <row r="28" ht="15.75" customHeight="1">
      <c r="A28" s="20"/>
      <c r="B28" s="21">
        <f>MIN(SUMIF(INGREDIENTI!$B$2:$B$114,E28,INGREDIENTI!$D$2:$D$114),SUMIF(INGREDIENTI!$B$2:$B$114,F28,INGREDIENTI!$D$2:$D$114),SUMIF(INGREDIENTI!$B$2:$B$114,G28,INGREDIENTI!$D$2:$D$114),SUMIF(INGREDIENTI!$B$2:$B$114,H28,INGREDIENTI!$D$2:$D$114),SUMIF(INGREDIENTI!$B$2:$B$114,I28,INGREDIENTI!$D$2:$D$114),SUMIF(INGREDIENTI!$B$2:$B$114,J28,INGREDIENTI!$D$2:$D$114),SUMIF(INGREDIENTI!$B$2:$B$114,K28,INGREDIENTI!$D$2:$D$114),SUMIF(INGREDIENTI!$B$2:$B$114,L28,INGREDIENTI!$D$2:$D$114))</f>
        <v>0</v>
      </c>
      <c r="C28" s="22" t="s">
        <v>123</v>
      </c>
      <c r="D28" s="23" t="s">
        <v>124</v>
      </c>
      <c r="E28" s="24" t="s">
        <v>72</v>
      </c>
      <c r="F28" s="25" t="s">
        <v>25</v>
      </c>
      <c r="G28" s="24" t="s">
        <v>125</v>
      </c>
      <c r="H28" s="24" t="s">
        <v>126</v>
      </c>
      <c r="I28" s="24" t="s">
        <v>28</v>
      </c>
      <c r="J28" s="24" t="s">
        <v>28</v>
      </c>
      <c r="K28" s="24" t="s">
        <v>28</v>
      </c>
      <c r="L28" s="24" t="s">
        <v>28</v>
      </c>
      <c r="M28" s="26" t="str">
        <f t="shared" si="1"/>
        <v/>
      </c>
      <c r="N28" s="27"/>
      <c r="O28" s="28">
        <f>SUMIF( 'TOTALI PIZZE'!A:A,D28,'TOTALI PIZZE'!B:B)</f>
        <v>1</v>
      </c>
      <c r="P28" s="29" t="s">
        <v>127</v>
      </c>
      <c r="Q28" s="30" t="str">
        <f>if(SUMIF(  'TOTALI PIZZE'!A:A,D28,'TOTALI PIZZE'!B:B)=0,"NEW","")</f>
        <v/>
      </c>
      <c r="R28" s="37"/>
      <c r="T28" s="37"/>
      <c r="U28" s="37"/>
      <c r="V28" s="37"/>
      <c r="W28" s="37"/>
      <c r="X28" s="37"/>
      <c r="Y28" s="37"/>
      <c r="Z28" s="37"/>
      <c r="AA28" s="37"/>
      <c r="AB28" s="37"/>
    </row>
    <row r="29" ht="15.75" customHeight="1">
      <c r="A29" s="20"/>
      <c r="B29" s="21">
        <f>MIN(SUMIF(INGREDIENTI!$B$2:$B$114,E29,INGREDIENTI!$D$2:$D$114),SUMIF(INGREDIENTI!$B$2:$B$114,F29,INGREDIENTI!$D$2:$D$114),SUMIF(INGREDIENTI!$B$2:$B$114,G29,INGREDIENTI!$D$2:$D$114),SUMIF(INGREDIENTI!$B$2:$B$114,H29,INGREDIENTI!$D$2:$D$114),SUMIF(INGREDIENTI!$B$2:$B$114,I29,INGREDIENTI!$D$2:$D$114),SUMIF(INGREDIENTI!$B$2:$B$114,J29,INGREDIENTI!$D$2:$D$114),SUMIF(INGREDIENTI!$B$2:$B$114,K29,INGREDIENTI!$D$2:$D$114),SUMIF(INGREDIENTI!$B$2:$B$114,L29,INGREDIENTI!$D$2:$D$114))</f>
        <v>0</v>
      </c>
      <c r="C29" s="22" t="s">
        <v>123</v>
      </c>
      <c r="D29" s="23" t="s">
        <v>128</v>
      </c>
      <c r="E29" s="24" t="s">
        <v>28</v>
      </c>
      <c r="F29" s="25" t="s">
        <v>25</v>
      </c>
      <c r="G29" s="24" t="s">
        <v>40</v>
      </c>
      <c r="H29" s="24" t="s">
        <v>129</v>
      </c>
      <c r="I29" s="24" t="s">
        <v>130</v>
      </c>
      <c r="J29" s="24" t="s">
        <v>28</v>
      </c>
      <c r="K29" s="24" t="s">
        <v>28</v>
      </c>
      <c r="L29" s="24" t="s">
        <v>28</v>
      </c>
      <c r="M29" s="26" t="str">
        <f t="shared" si="1"/>
        <v/>
      </c>
      <c r="N29" s="27"/>
      <c r="O29" s="28">
        <f>SUMIF( 'TOTALI PIZZE'!A:A,D29,'TOTALI PIZZE'!B:B)</f>
        <v>1</v>
      </c>
      <c r="P29" s="29" t="s">
        <v>131</v>
      </c>
      <c r="Q29" s="30" t="str">
        <f>if(SUMIF(  'TOTALI PIZZE'!A:A,D29,'TOTALI PIZZE'!B:B)=0,"NEW","")</f>
        <v/>
      </c>
      <c r="R29" s="37"/>
      <c r="T29" s="37"/>
      <c r="U29" s="37"/>
      <c r="V29" s="37"/>
      <c r="W29" s="37"/>
      <c r="X29" s="37"/>
      <c r="Y29" s="37"/>
      <c r="Z29" s="37"/>
      <c r="AA29" s="37"/>
      <c r="AB29" s="37"/>
    </row>
    <row r="30" ht="15.75" customHeight="1">
      <c r="A30" s="20"/>
      <c r="B30" s="21">
        <f>MIN(SUMIF(INGREDIENTI!$B$2:$B$114,E30,INGREDIENTI!$D$2:$D$114),SUMIF(INGREDIENTI!$B$2:$B$114,F30,INGREDIENTI!$D$2:$D$114),SUMIF(INGREDIENTI!$B$2:$B$114,G30,INGREDIENTI!$D$2:$D$114),SUMIF(INGREDIENTI!$B$2:$B$114,H30,INGREDIENTI!$D$2:$D$114),SUMIF(INGREDIENTI!$B$2:$B$114,I30,INGREDIENTI!$D$2:$D$114),SUMIF(INGREDIENTI!$B$2:$B$114,J30,INGREDIENTI!$D$2:$D$114),SUMIF(INGREDIENTI!$B$2:$B$114,K30,INGREDIENTI!$D$2:$D$114),SUMIF(INGREDIENTI!$B$2:$B$114,L30,INGREDIENTI!$D$2:$D$114))</f>
        <v>0</v>
      </c>
      <c r="C30" s="22" t="s">
        <v>30</v>
      </c>
      <c r="D30" s="23" t="s">
        <v>132</v>
      </c>
      <c r="E30" s="24" t="s">
        <v>28</v>
      </c>
      <c r="F30" s="24" t="s">
        <v>28</v>
      </c>
      <c r="G30" s="24" t="s">
        <v>117</v>
      </c>
      <c r="H30" s="24" t="s">
        <v>67</v>
      </c>
      <c r="I30" s="24" t="s">
        <v>118</v>
      </c>
      <c r="J30" s="24" t="s">
        <v>28</v>
      </c>
      <c r="K30" s="24" t="s">
        <v>28</v>
      </c>
      <c r="L30" s="24" t="s">
        <v>28</v>
      </c>
      <c r="M30" s="26" t="str">
        <f t="shared" si="1"/>
        <v/>
      </c>
      <c r="N30" s="27"/>
      <c r="O30" s="28">
        <f>SUMIF( 'TOTALI PIZZE'!A:A,D30,'TOTALI PIZZE'!B:B)</f>
        <v>0</v>
      </c>
      <c r="P30" s="29" t="s">
        <v>133</v>
      </c>
      <c r="Q30" s="30" t="str">
        <f>if(SUMIF(  'TOTALI PIZZE'!A:A,D30,'TOTALI PIZZE'!B:B)=0,"NEW","")</f>
        <v>NEW</v>
      </c>
      <c r="R30" s="37"/>
      <c r="T30" s="37"/>
      <c r="U30" s="37"/>
      <c r="V30" s="37"/>
      <c r="W30" s="37"/>
      <c r="X30" s="37"/>
      <c r="Y30" s="37"/>
      <c r="Z30" s="37"/>
      <c r="AA30" s="37"/>
      <c r="AB30" s="37"/>
    </row>
    <row r="31" ht="15.75" customHeight="1">
      <c r="A31" s="20"/>
      <c r="B31" s="21">
        <f>MIN(SUMIF(INGREDIENTI!$B$2:$B$114,E31,INGREDIENTI!$D$2:$D$114),SUMIF(INGREDIENTI!$B$2:$B$114,F31,INGREDIENTI!$D$2:$D$114),SUMIF(INGREDIENTI!$B$2:$B$114,G31,INGREDIENTI!$D$2:$D$114),SUMIF(INGREDIENTI!$B$2:$B$114,H31,INGREDIENTI!$D$2:$D$114),SUMIF(INGREDIENTI!$B$2:$B$114,I31,INGREDIENTI!$D$2:$D$114),SUMIF(INGREDIENTI!$B$2:$B$114,J31,INGREDIENTI!$D$2:$D$114),SUMIF(INGREDIENTI!$B$2:$B$114,K31,INGREDIENTI!$D$2:$D$114),SUMIF(INGREDIENTI!$B$2:$B$114,L31,INGREDIENTI!$D$2:$D$114))</f>
        <v>0</v>
      </c>
      <c r="C31" s="22" t="s">
        <v>30</v>
      </c>
      <c r="D31" s="23" t="s">
        <v>134</v>
      </c>
      <c r="E31" s="24" t="s">
        <v>24</v>
      </c>
      <c r="F31" s="25" t="s">
        <v>28</v>
      </c>
      <c r="G31" s="24" t="s">
        <v>135</v>
      </c>
      <c r="H31" s="24" t="s">
        <v>62</v>
      </c>
      <c r="I31" s="24" t="s">
        <v>36</v>
      </c>
      <c r="J31" s="24" t="s">
        <v>28</v>
      </c>
      <c r="K31" s="24" t="s">
        <v>28</v>
      </c>
      <c r="L31" s="24" t="s">
        <v>28</v>
      </c>
      <c r="M31" s="26" t="str">
        <f t="shared" si="1"/>
        <v/>
      </c>
      <c r="N31" s="27"/>
      <c r="O31" s="28">
        <f>SUMIF( 'TOTALI PIZZE'!A:A,D31,'TOTALI PIZZE'!B:B)</f>
        <v>0</v>
      </c>
      <c r="P31" s="29" t="s">
        <v>136</v>
      </c>
      <c r="Q31" s="30" t="str">
        <f>if(SUMIF(  'TOTALI PIZZE'!A:A,D31,'TOTALI PIZZE'!B:B)=0,"NEW","")</f>
        <v>NEW</v>
      </c>
    </row>
    <row r="32" ht="15.75" customHeight="1">
      <c r="A32" s="20"/>
      <c r="B32" s="21">
        <f>MIN(SUMIF(INGREDIENTI!$B$2:$B$114,E32,INGREDIENTI!$D$2:$D$114),SUMIF(INGREDIENTI!$B$2:$B$114,F32,INGREDIENTI!$D$2:$D$114),SUMIF(INGREDIENTI!$B$2:$B$114,G32,INGREDIENTI!$D$2:$D$114),SUMIF(INGREDIENTI!$B$2:$B$114,H32,INGREDIENTI!$D$2:$D$114),SUMIF(INGREDIENTI!$B$2:$B$114,I32,INGREDIENTI!$D$2:$D$114),SUMIF(INGREDIENTI!$B$2:$B$114,J32,INGREDIENTI!$D$2:$D$114),SUMIF(INGREDIENTI!$B$2:$B$114,K32,INGREDIENTI!$D$2:$D$114),SUMIF(INGREDIENTI!$B$2:$B$114,L32,INGREDIENTI!$D$2:$D$114))</f>
        <v>0</v>
      </c>
      <c r="C32" s="32" t="s">
        <v>30</v>
      </c>
      <c r="D32" s="33" t="s">
        <v>137</v>
      </c>
      <c r="E32" s="25" t="s">
        <v>28</v>
      </c>
      <c r="F32" s="25" t="s">
        <v>28</v>
      </c>
      <c r="G32" s="25" t="s">
        <v>117</v>
      </c>
      <c r="H32" s="25" t="s">
        <v>32</v>
      </c>
      <c r="I32" s="25" t="s">
        <v>76</v>
      </c>
      <c r="J32" s="25" t="s">
        <v>138</v>
      </c>
      <c r="K32" s="25" t="s">
        <v>36</v>
      </c>
      <c r="L32" s="25" t="s">
        <v>28</v>
      </c>
      <c r="M32" s="26" t="str">
        <f t="shared" si="1"/>
        <v/>
      </c>
      <c r="N32" s="34"/>
      <c r="O32" s="28">
        <f>SUMIF( 'TOTALI PIZZE'!A:A,D32,'TOTALI PIZZE'!B:B)</f>
        <v>2</v>
      </c>
      <c r="P32" s="29" t="s">
        <v>139</v>
      </c>
      <c r="Q32" s="30" t="str">
        <f>if(SUMIF(  'TOTALI PIZZE'!A:A,D32,'TOTALI PIZZE'!B:B)=0,"NEW","")</f>
        <v/>
      </c>
    </row>
    <row r="33" ht="15.75" customHeight="1">
      <c r="A33" s="20"/>
      <c r="B33" s="21">
        <f>MIN(SUMIF(INGREDIENTI!$B$2:$B$114,E33,INGREDIENTI!$D$2:$D$114),SUMIF(INGREDIENTI!$B$2:$B$114,F33,INGREDIENTI!$D$2:$D$114),SUMIF(INGREDIENTI!$B$2:$B$114,G33,INGREDIENTI!$D$2:$D$114),SUMIF(INGREDIENTI!$B$2:$B$114,H33,INGREDIENTI!$D$2:$D$114),SUMIF(INGREDIENTI!$B$2:$B$114,I33,INGREDIENTI!$D$2:$D$114),SUMIF(INGREDIENTI!$B$2:$B$114,J33,INGREDIENTI!$D$2:$D$114),SUMIF(INGREDIENTI!$B$2:$B$114,K33,INGREDIENTI!$D$2:$D$114),SUMIF(INGREDIENTI!$B$2:$B$114,L33,INGREDIENTI!$D$2:$D$114))</f>
        <v>0</v>
      </c>
      <c r="C33" s="22" t="s">
        <v>123</v>
      </c>
      <c r="D33" s="23" t="s">
        <v>140</v>
      </c>
      <c r="E33" s="24" t="s">
        <v>24</v>
      </c>
      <c r="F33" s="24" t="s">
        <v>25</v>
      </c>
      <c r="G33" s="24" t="s">
        <v>141</v>
      </c>
      <c r="H33" s="24" t="s">
        <v>111</v>
      </c>
      <c r="I33" s="24" t="s">
        <v>28</v>
      </c>
      <c r="J33" s="24" t="s">
        <v>28</v>
      </c>
      <c r="K33" s="24" t="s">
        <v>28</v>
      </c>
      <c r="L33" s="24" t="s">
        <v>28</v>
      </c>
      <c r="M33" s="26" t="str">
        <f t="shared" si="1"/>
        <v/>
      </c>
      <c r="N33" s="27"/>
      <c r="O33" s="28">
        <f>SUMIF( 'TOTALI PIZZE'!A:A,D33,'TOTALI PIZZE'!B:B)</f>
        <v>2</v>
      </c>
      <c r="P33" s="29" t="s">
        <v>142</v>
      </c>
      <c r="Q33" s="30" t="str">
        <f>if(SUMIF(  'TOTALI PIZZE'!A:A,D33,'TOTALI PIZZE'!B:B)=0,"NEW","")</f>
        <v/>
      </c>
    </row>
    <row r="34" ht="15.75" customHeight="1">
      <c r="A34" s="20"/>
      <c r="B34" s="21">
        <f>MIN(SUMIF(INGREDIENTI!$B$2:$B$114,E34,INGREDIENTI!$D$2:$D$114),SUMIF(INGREDIENTI!$B$2:$B$114,F34,INGREDIENTI!$D$2:$D$114),SUMIF(INGREDIENTI!$B$2:$B$114,G34,INGREDIENTI!$D$2:$D$114),SUMIF(INGREDIENTI!$B$2:$B$114,H34,INGREDIENTI!$D$2:$D$114),SUMIF(INGREDIENTI!$B$2:$B$114,I34,INGREDIENTI!$D$2:$D$114),SUMIF(INGREDIENTI!$B$2:$B$114,J34,INGREDIENTI!$D$2:$D$114),SUMIF(INGREDIENTI!$B$2:$B$114,K34,INGREDIENTI!$D$2:$D$114),SUMIF(INGREDIENTI!$B$2:$B$114,L34,INGREDIENTI!$D$2:$D$114))</f>
        <v>0</v>
      </c>
      <c r="C34" s="22" t="s">
        <v>30</v>
      </c>
      <c r="D34" s="23" t="s">
        <v>143</v>
      </c>
      <c r="E34" s="24" t="s">
        <v>24</v>
      </c>
      <c r="F34" s="25" t="s">
        <v>25</v>
      </c>
      <c r="G34" s="24" t="s">
        <v>144</v>
      </c>
      <c r="H34" s="24" t="s">
        <v>145</v>
      </c>
      <c r="I34" s="24" t="s">
        <v>125</v>
      </c>
      <c r="J34" s="24" t="s">
        <v>28</v>
      </c>
      <c r="K34" s="24" t="s">
        <v>28</v>
      </c>
      <c r="L34" s="24" t="s">
        <v>28</v>
      </c>
      <c r="M34" s="26" t="str">
        <f t="shared" si="1"/>
        <v/>
      </c>
      <c r="N34" s="27"/>
      <c r="O34" s="28">
        <f>SUMIF( 'TOTALI PIZZE'!A:A,D34,'TOTALI PIZZE'!B:B)</f>
        <v>1</v>
      </c>
      <c r="P34" s="29" t="s">
        <v>146</v>
      </c>
      <c r="Q34" s="30" t="str">
        <f>if(SUMIF(  'TOTALI PIZZE'!A:A,D34,'TOTALI PIZZE'!B:B)=0,"NEW","")</f>
        <v/>
      </c>
    </row>
    <row r="35" ht="15.75" customHeight="1">
      <c r="A35" s="20"/>
      <c r="B35" s="21">
        <f>MIN(SUMIF(INGREDIENTI!$B$2:$B$114,E35,INGREDIENTI!$D$2:$D$114),SUMIF(INGREDIENTI!$B$2:$B$114,F35,INGREDIENTI!$D$2:$D$114),SUMIF(INGREDIENTI!$B$2:$B$114,G35,INGREDIENTI!$D$2:$D$114),SUMIF(INGREDIENTI!$B$2:$B$114,H35,INGREDIENTI!$D$2:$D$114),SUMIF(INGREDIENTI!$B$2:$B$114,I35,INGREDIENTI!$D$2:$D$114),SUMIF(INGREDIENTI!$B$2:$B$114,J35,INGREDIENTI!$D$2:$D$114),SUMIF(INGREDIENTI!$B$2:$B$114,K35,INGREDIENTI!$D$2:$D$114),SUMIF(INGREDIENTI!$B$2:$B$114,L35,INGREDIENTI!$D$2:$D$114))</f>
        <v>0</v>
      </c>
      <c r="C35" s="22" t="s">
        <v>30</v>
      </c>
      <c r="D35" s="33" t="s">
        <v>147</v>
      </c>
      <c r="E35" s="25" t="s">
        <v>28</v>
      </c>
      <c r="F35" s="25" t="s">
        <v>25</v>
      </c>
      <c r="G35" s="25" t="s">
        <v>53</v>
      </c>
      <c r="H35" s="25" t="s">
        <v>33</v>
      </c>
      <c r="I35" s="25" t="s">
        <v>148</v>
      </c>
      <c r="J35" s="25" t="s">
        <v>28</v>
      </c>
      <c r="K35" s="25" t="s">
        <v>28</v>
      </c>
      <c r="L35" s="25" t="s">
        <v>28</v>
      </c>
      <c r="M35" s="26" t="str">
        <f t="shared" si="1"/>
        <v/>
      </c>
      <c r="N35" s="27"/>
      <c r="O35" s="28">
        <f>SUMIF( 'TOTALI PIZZE'!A:A,D35,'TOTALI PIZZE'!B:B)</f>
        <v>1</v>
      </c>
      <c r="P35" s="29" t="s">
        <v>149</v>
      </c>
      <c r="Q35" s="30" t="str">
        <f>if(SUMIF(  'TOTALI PIZZE'!A:A,D35,'TOTALI PIZZE'!B:B)=0,"NEW","")</f>
        <v/>
      </c>
    </row>
    <row r="36" ht="15.75" customHeight="1">
      <c r="A36" s="20"/>
      <c r="B36" s="21">
        <f>MIN(SUMIF(INGREDIENTI!$B$2:$B$114,E36,INGREDIENTI!$D$2:$D$114),SUMIF(INGREDIENTI!$B$2:$B$114,F36,INGREDIENTI!$D$2:$D$114),SUMIF(INGREDIENTI!$B$2:$B$114,G36,INGREDIENTI!$D$2:$D$114),SUMIF(INGREDIENTI!$B$2:$B$114,H36,INGREDIENTI!$D$2:$D$114),SUMIF(INGREDIENTI!$B$2:$B$114,I36,INGREDIENTI!$D$2:$D$114),SUMIF(INGREDIENTI!$B$2:$B$114,J36,INGREDIENTI!$D$2:$D$114),SUMIF(INGREDIENTI!$B$2:$B$114,K36,INGREDIENTI!$D$2:$D$114),SUMIF(INGREDIENTI!$B$2:$B$114,L36,INGREDIENTI!$D$2:$D$114))</f>
        <v>0</v>
      </c>
      <c r="C36" s="22" t="s">
        <v>30</v>
      </c>
      <c r="D36" s="23" t="s">
        <v>150</v>
      </c>
      <c r="E36" s="24" t="s">
        <v>28</v>
      </c>
      <c r="F36" s="24" t="s">
        <v>25</v>
      </c>
      <c r="G36" s="24" t="s">
        <v>151</v>
      </c>
      <c r="H36" s="24" t="s">
        <v>138</v>
      </c>
      <c r="I36" s="24" t="s">
        <v>152</v>
      </c>
      <c r="J36" s="24" t="s">
        <v>28</v>
      </c>
      <c r="K36" s="24" t="s">
        <v>28</v>
      </c>
      <c r="L36" s="24" t="s">
        <v>28</v>
      </c>
      <c r="M36" s="26" t="str">
        <f t="shared" si="1"/>
        <v/>
      </c>
      <c r="N36" s="27"/>
      <c r="O36" s="28">
        <f>SUMIF( 'TOTALI PIZZE'!A:A,D36,'TOTALI PIZZE'!B:B)</f>
        <v>7</v>
      </c>
      <c r="P36" s="29" t="s">
        <v>153</v>
      </c>
      <c r="Q36" s="30" t="str">
        <f>if(SUMIF(  'TOTALI PIZZE'!A:A,D36,'TOTALI PIZZE'!B:B)=0,"NEW","")</f>
        <v/>
      </c>
    </row>
    <row r="37" ht="15.75" customHeight="1">
      <c r="A37" s="20"/>
      <c r="B37" s="21">
        <f>MIN(SUMIF(INGREDIENTI!$B$2:$B$114,E37,INGREDIENTI!$D$2:$D$114),SUMIF(INGREDIENTI!$B$2:$B$114,F37,INGREDIENTI!$D$2:$D$114),SUMIF(INGREDIENTI!$B$2:$B$114,G37,INGREDIENTI!$D$2:$D$114),SUMIF(INGREDIENTI!$B$2:$B$114,H37,INGREDIENTI!$D$2:$D$114),SUMIF(INGREDIENTI!$B$2:$B$114,I37,INGREDIENTI!$D$2:$D$114),SUMIF(INGREDIENTI!$B$2:$B$114,J37,INGREDIENTI!$D$2:$D$114),SUMIF(INGREDIENTI!$B$2:$B$114,K37,INGREDIENTI!$D$2:$D$114),SUMIF(INGREDIENTI!$B$2:$B$114,L37,INGREDIENTI!$D$2:$D$114))</f>
        <v>0</v>
      </c>
      <c r="C37" s="22" t="s">
        <v>30</v>
      </c>
      <c r="D37" s="23" t="s">
        <v>154</v>
      </c>
      <c r="E37" s="24" t="s">
        <v>28</v>
      </c>
      <c r="F37" s="24" t="s">
        <v>25</v>
      </c>
      <c r="G37" s="24" t="s">
        <v>117</v>
      </c>
      <c r="H37" s="24" t="s">
        <v>155</v>
      </c>
      <c r="I37" s="24" t="s">
        <v>156</v>
      </c>
      <c r="J37" s="24" t="s">
        <v>28</v>
      </c>
      <c r="K37" s="24" t="s">
        <v>28</v>
      </c>
      <c r="L37" s="24" t="s">
        <v>28</v>
      </c>
      <c r="M37" s="26" t="str">
        <f t="shared" si="1"/>
        <v/>
      </c>
      <c r="N37" s="27"/>
      <c r="O37" s="28">
        <f>SUMIF( 'TOTALI PIZZE'!A:A,D37,'TOTALI PIZZE'!B:B)</f>
        <v>1</v>
      </c>
      <c r="P37" s="29" t="s">
        <v>157</v>
      </c>
      <c r="Q37" s="30" t="str">
        <f>if(SUMIF(  'TOTALI PIZZE'!A:A,D37,'TOTALI PIZZE'!B:B)=0,"NEW","")</f>
        <v/>
      </c>
    </row>
    <row r="38" ht="15.75" customHeight="1">
      <c r="A38" s="20"/>
      <c r="B38" s="21">
        <f>MIN(SUMIF(INGREDIENTI!$B$2:$B$114,E38,INGREDIENTI!$D$2:$D$114),SUMIF(INGREDIENTI!$B$2:$B$114,F38,INGREDIENTI!$D$2:$D$114),SUMIF(INGREDIENTI!$B$2:$B$114,G38,INGREDIENTI!$D$2:$D$114),SUMIF(INGREDIENTI!$B$2:$B$114,H38,INGREDIENTI!$D$2:$D$114),SUMIF(INGREDIENTI!$B$2:$B$114,I38,INGREDIENTI!$D$2:$D$114),SUMIF(INGREDIENTI!$B$2:$B$114,J38,INGREDIENTI!$D$2:$D$114),SUMIF(INGREDIENTI!$B$2:$B$114,K38,INGREDIENTI!$D$2:$D$114),SUMIF(INGREDIENTI!$B$2:$B$114,L38,INGREDIENTI!$D$2:$D$114))</f>
        <v>0</v>
      </c>
      <c r="C38" s="22" t="s">
        <v>30</v>
      </c>
      <c r="D38" s="23" t="s">
        <v>158</v>
      </c>
      <c r="E38" s="24" t="s">
        <v>24</v>
      </c>
      <c r="F38" s="24" t="s">
        <v>28</v>
      </c>
      <c r="G38" s="24" t="s">
        <v>117</v>
      </c>
      <c r="H38" s="24" t="s">
        <v>159</v>
      </c>
      <c r="I38" s="24" t="s">
        <v>34</v>
      </c>
      <c r="J38" s="24" t="s">
        <v>28</v>
      </c>
      <c r="K38" s="24" t="s">
        <v>28</v>
      </c>
      <c r="L38" s="24" t="s">
        <v>28</v>
      </c>
      <c r="M38" s="26" t="str">
        <f t="shared" si="1"/>
        <v/>
      </c>
      <c r="N38" s="27"/>
      <c r="O38" s="28">
        <f>SUMIF( 'TOTALI PIZZE'!A:A,D38,'TOTALI PIZZE'!B:B)</f>
        <v>1</v>
      </c>
      <c r="P38" s="29" t="s">
        <v>160</v>
      </c>
      <c r="Q38" s="30" t="str">
        <f>if(SUMIF(  'TOTALI PIZZE'!A:A,D38,'TOTALI PIZZE'!B:B)=0,"NEW","")</f>
        <v/>
      </c>
    </row>
    <row r="39" ht="15.75" customHeight="1">
      <c r="A39" s="20"/>
      <c r="B39" s="21">
        <f>MIN(SUMIF(INGREDIENTI!$B$2:$B$114,E39,INGREDIENTI!$D$2:$D$114),SUMIF(INGREDIENTI!$B$2:$B$114,F39,INGREDIENTI!$D$2:$D$114),SUMIF(INGREDIENTI!$B$2:$B$114,G39,INGREDIENTI!$D$2:$D$114),SUMIF(INGREDIENTI!$B$2:$B$114,H39,INGREDIENTI!$D$2:$D$114),SUMIF(INGREDIENTI!$B$2:$B$114,I39,INGREDIENTI!$D$2:$D$114),SUMIF(INGREDIENTI!$B$2:$B$114,J39,INGREDIENTI!$D$2:$D$114),SUMIF(INGREDIENTI!$B$2:$B$114,K39,INGREDIENTI!$D$2:$D$114),SUMIF(INGREDIENTI!$B$2:$B$114,L39,INGREDIENTI!$D$2:$D$114))</f>
        <v>0</v>
      </c>
      <c r="C39" s="22" t="s">
        <v>123</v>
      </c>
      <c r="D39" s="23" t="s">
        <v>161</v>
      </c>
      <c r="E39" s="24" t="s">
        <v>28</v>
      </c>
      <c r="F39" s="25" t="s">
        <v>25</v>
      </c>
      <c r="G39" s="24" t="s">
        <v>117</v>
      </c>
      <c r="H39" s="24" t="s">
        <v>40</v>
      </c>
      <c r="I39" s="24" t="s">
        <v>26</v>
      </c>
      <c r="J39" s="24" t="s">
        <v>28</v>
      </c>
      <c r="K39" s="24" t="s">
        <v>28</v>
      </c>
      <c r="L39" s="24" t="s">
        <v>28</v>
      </c>
      <c r="M39" s="26" t="str">
        <f t="shared" si="1"/>
        <v/>
      </c>
      <c r="N39" s="27"/>
      <c r="O39" s="28">
        <f>SUMIF( 'TOTALI PIZZE'!A:A,D39,'TOTALI PIZZE'!B:B)</f>
        <v>2</v>
      </c>
      <c r="P39" s="29" t="s">
        <v>162</v>
      </c>
      <c r="Q39" s="30" t="str">
        <f>if(SUMIF(  'TOTALI PIZZE'!A:A,D39,'TOTALI PIZZE'!B:B)=0,"NEW","")</f>
        <v/>
      </c>
    </row>
    <row r="40" ht="15.75" customHeight="1">
      <c r="A40" s="20"/>
      <c r="B40" s="21">
        <f>MIN(SUMIF(INGREDIENTI!$B$2:$B$114,E40,INGREDIENTI!$D$2:$D$114),SUMIF(INGREDIENTI!$B$2:$B$114,F40,INGREDIENTI!$D$2:$D$114),SUMIF(INGREDIENTI!$B$2:$B$114,G40,INGREDIENTI!$D$2:$D$114),SUMIF(INGREDIENTI!$B$2:$B$114,H40,INGREDIENTI!$D$2:$D$114),SUMIF(INGREDIENTI!$B$2:$B$114,I40,INGREDIENTI!$D$2:$D$114),SUMIF(INGREDIENTI!$B$2:$B$114,J40,INGREDIENTI!$D$2:$D$114),SUMIF(INGREDIENTI!$B$2:$B$114,K40,INGREDIENTI!$D$2:$D$114),SUMIF(INGREDIENTI!$B$2:$B$114,L40,INGREDIENTI!$D$2:$D$114))</f>
        <v>0</v>
      </c>
      <c r="C40" s="22" t="s">
        <v>30</v>
      </c>
      <c r="D40" s="23" t="s">
        <v>163</v>
      </c>
      <c r="E40" s="24" t="s">
        <v>28</v>
      </c>
      <c r="F40" s="25" t="s">
        <v>25</v>
      </c>
      <c r="G40" s="24" t="s">
        <v>164</v>
      </c>
      <c r="H40" s="24" t="s">
        <v>165</v>
      </c>
      <c r="I40" s="24" t="s">
        <v>166</v>
      </c>
      <c r="J40" s="24" t="s">
        <v>108</v>
      </c>
      <c r="K40" s="24" t="s">
        <v>28</v>
      </c>
      <c r="L40" s="24" t="s">
        <v>28</v>
      </c>
      <c r="M40" s="26" t="str">
        <f t="shared" si="1"/>
        <v/>
      </c>
      <c r="N40" s="27"/>
      <c r="O40" s="28">
        <f>SUMIF( 'TOTALI PIZZE'!A:A,D40,'TOTALI PIZZE'!B:B)</f>
        <v>1</v>
      </c>
      <c r="P40" s="29" t="s">
        <v>167</v>
      </c>
      <c r="Q40" s="30" t="str">
        <f>if(SUMIF(  'TOTALI PIZZE'!A:A,D40,'TOTALI PIZZE'!B:B)=0,"NEW","")</f>
        <v/>
      </c>
    </row>
    <row r="41" ht="15.75" customHeight="1">
      <c r="A41" s="20"/>
      <c r="B41" s="21">
        <f>MIN(SUMIF(INGREDIENTI!$B$2:$B$114,E41,INGREDIENTI!$D$2:$D$114),SUMIF(INGREDIENTI!$B$2:$B$114,F41,INGREDIENTI!$D$2:$D$114),SUMIF(INGREDIENTI!$B$2:$B$114,G41,INGREDIENTI!$D$2:$D$114),SUMIF(INGREDIENTI!$B$2:$B$114,H41,INGREDIENTI!$D$2:$D$114),SUMIF(INGREDIENTI!$B$2:$B$114,I41,INGREDIENTI!$D$2:$D$114),SUMIF(INGREDIENTI!$B$2:$B$114,J41,INGREDIENTI!$D$2:$D$114),SUMIF(INGREDIENTI!$B$2:$B$114,K41,INGREDIENTI!$D$2:$D$114),SUMIF(INGREDIENTI!$B$2:$B$114,L41,INGREDIENTI!$D$2:$D$114))</f>
        <v>0</v>
      </c>
      <c r="C41" s="22" t="s">
        <v>30</v>
      </c>
      <c r="D41" s="23" t="s">
        <v>168</v>
      </c>
      <c r="E41" s="24" t="s">
        <v>28</v>
      </c>
      <c r="F41" s="25" t="s">
        <v>25</v>
      </c>
      <c r="G41" s="24" t="s">
        <v>169</v>
      </c>
      <c r="H41" s="24" t="s">
        <v>170</v>
      </c>
      <c r="I41" s="24" t="s">
        <v>171</v>
      </c>
      <c r="J41" s="24" t="s">
        <v>172</v>
      </c>
      <c r="K41" s="24" t="s">
        <v>28</v>
      </c>
      <c r="L41" s="24" t="s">
        <v>28</v>
      </c>
      <c r="M41" s="26" t="str">
        <f t="shared" si="1"/>
        <v/>
      </c>
      <c r="N41" s="27"/>
      <c r="O41" s="28">
        <f>SUMIF( 'TOTALI PIZZE'!A:A,D41,'TOTALI PIZZE'!B:B)</f>
        <v>1</v>
      </c>
      <c r="P41" s="29" t="s">
        <v>173</v>
      </c>
      <c r="Q41" s="30" t="str">
        <f>if(SUMIF(  'TOTALI PIZZE'!A:A,D41,'TOTALI PIZZE'!B:B)=0,"NEW","")</f>
        <v/>
      </c>
    </row>
    <row r="42" ht="15.75" customHeight="1">
      <c r="A42" s="20"/>
      <c r="B42" s="21">
        <f>MIN(SUMIF(INGREDIENTI!$B$2:$B$114,E42,INGREDIENTI!$D$2:$D$114),SUMIF(INGREDIENTI!$B$2:$B$114,F42,INGREDIENTI!$D$2:$D$114),SUMIF(INGREDIENTI!$B$2:$B$114,G42,INGREDIENTI!$D$2:$D$114),SUMIF(INGREDIENTI!$B$2:$B$114,H42,INGREDIENTI!$D$2:$D$114),SUMIF(INGREDIENTI!$B$2:$B$114,I42,INGREDIENTI!$D$2:$D$114),SUMIF(INGREDIENTI!$B$2:$B$114,J42,INGREDIENTI!$D$2:$D$114),SUMIF(INGREDIENTI!$B$2:$B$114,K42,INGREDIENTI!$D$2:$D$114),SUMIF(INGREDIENTI!$B$2:$B$114,L42,INGREDIENTI!$D$2:$D$114))</f>
        <v>0</v>
      </c>
      <c r="C42" s="22" t="s">
        <v>30</v>
      </c>
      <c r="D42" s="23" t="s">
        <v>174</v>
      </c>
      <c r="E42" s="24" t="s">
        <v>24</v>
      </c>
      <c r="F42" s="25" t="s">
        <v>25</v>
      </c>
      <c r="G42" s="24" t="s">
        <v>126</v>
      </c>
      <c r="H42" s="24" t="s">
        <v>34</v>
      </c>
      <c r="I42" s="24" t="s">
        <v>28</v>
      </c>
      <c r="J42" s="24" t="s">
        <v>28</v>
      </c>
      <c r="K42" s="24" t="s">
        <v>28</v>
      </c>
      <c r="L42" s="24" t="s">
        <v>28</v>
      </c>
      <c r="M42" s="26" t="str">
        <f t="shared" si="1"/>
        <v/>
      </c>
      <c r="N42" s="27"/>
      <c r="O42" s="28">
        <f>SUMIF( 'TOTALI PIZZE'!A:A,D42,'TOTALI PIZZE'!B:B)</f>
        <v>1</v>
      </c>
      <c r="P42" s="29" t="s">
        <v>175</v>
      </c>
      <c r="Q42" s="30" t="str">
        <f>if(SUMIF(  'TOTALI PIZZE'!A:A,D42,'TOTALI PIZZE'!B:B)=0,"NEW","")</f>
        <v/>
      </c>
    </row>
    <row r="43" ht="15.75" customHeight="1">
      <c r="A43" s="20"/>
      <c r="B43" s="21">
        <f>MIN(SUMIF(INGREDIENTI!$B$2:$B$114,E43,INGREDIENTI!$D$2:$D$114),SUMIF(INGREDIENTI!$B$2:$B$114,F43,INGREDIENTI!$D$2:$D$114),SUMIF(INGREDIENTI!$B$2:$B$114,G43,INGREDIENTI!$D$2:$D$114),SUMIF(INGREDIENTI!$B$2:$B$114,H43,INGREDIENTI!$D$2:$D$114),SUMIF(INGREDIENTI!$B$2:$B$114,I43,INGREDIENTI!$D$2:$D$114),SUMIF(INGREDIENTI!$B$2:$B$114,J43,INGREDIENTI!$D$2:$D$114),SUMIF(INGREDIENTI!$B$2:$B$114,K43,INGREDIENTI!$D$2:$D$114),SUMIF(INGREDIENTI!$B$2:$B$114,L43,INGREDIENTI!$D$2:$D$114))</f>
        <v>0</v>
      </c>
      <c r="C43" s="22" t="s">
        <v>30</v>
      </c>
      <c r="D43" s="23" t="s">
        <v>176</v>
      </c>
      <c r="E43" s="24" t="s">
        <v>52</v>
      </c>
      <c r="F43" s="25" t="s">
        <v>28</v>
      </c>
      <c r="G43" s="24" t="s">
        <v>117</v>
      </c>
      <c r="H43" s="24" t="s">
        <v>67</v>
      </c>
      <c r="I43" s="24" t="s">
        <v>171</v>
      </c>
      <c r="J43" s="24" t="s">
        <v>27</v>
      </c>
      <c r="K43" s="24" t="s">
        <v>28</v>
      </c>
      <c r="L43" s="24" t="s">
        <v>28</v>
      </c>
      <c r="M43" s="26" t="str">
        <f t="shared" si="1"/>
        <v/>
      </c>
      <c r="N43" s="27"/>
      <c r="O43" s="28">
        <f>SUMIF( 'TOTALI PIZZE'!A:A,D43,'TOTALI PIZZE'!B:B)</f>
        <v>1</v>
      </c>
      <c r="P43" s="29" t="s">
        <v>177</v>
      </c>
      <c r="Q43" s="30" t="str">
        <f>if(SUMIF(  'TOTALI PIZZE'!A:A,D43,'TOTALI PIZZE'!B:B)=0,"NEW","")</f>
        <v/>
      </c>
    </row>
    <row r="44" ht="15.75" customHeight="1">
      <c r="A44" s="20"/>
      <c r="B44" s="21">
        <f>MIN(SUMIF(INGREDIENTI!$B$2:$B$114,E44,INGREDIENTI!$D$2:$D$114),SUMIF(INGREDIENTI!$B$2:$B$114,F44,INGREDIENTI!$D$2:$D$114),SUMIF(INGREDIENTI!$B$2:$B$114,G44,INGREDIENTI!$D$2:$D$114),SUMIF(INGREDIENTI!$B$2:$B$114,H44,INGREDIENTI!$D$2:$D$114),SUMIF(INGREDIENTI!$B$2:$B$114,I44,INGREDIENTI!$D$2:$D$114),SUMIF(INGREDIENTI!$B$2:$B$114,J44,INGREDIENTI!$D$2:$D$114),SUMIF(INGREDIENTI!$B$2:$B$114,K44,INGREDIENTI!$D$2:$D$114),SUMIF(INGREDIENTI!$B$2:$B$114,L44,INGREDIENTI!$D$2:$D$114))</f>
        <v>0</v>
      </c>
      <c r="C44" s="22" t="s">
        <v>30</v>
      </c>
      <c r="D44" s="33" t="s">
        <v>178</v>
      </c>
      <c r="E44" s="25" t="s">
        <v>28</v>
      </c>
      <c r="F44" s="25" t="s">
        <v>25</v>
      </c>
      <c r="G44" s="25" t="s">
        <v>34</v>
      </c>
      <c r="H44" s="25" t="s">
        <v>111</v>
      </c>
      <c r="I44" s="25" t="s">
        <v>148</v>
      </c>
      <c r="J44" s="25" t="s">
        <v>28</v>
      </c>
      <c r="K44" s="25" t="s">
        <v>28</v>
      </c>
      <c r="L44" s="25" t="s">
        <v>28</v>
      </c>
      <c r="M44" s="26" t="str">
        <f t="shared" si="1"/>
        <v/>
      </c>
      <c r="N44" s="27"/>
      <c r="O44" s="28">
        <f>SUMIF( 'TOTALI PIZZE'!A:A,D44,'TOTALI PIZZE'!B:B)</f>
        <v>2</v>
      </c>
      <c r="P44" s="29" t="s">
        <v>179</v>
      </c>
      <c r="Q44" s="30" t="str">
        <f>if(SUMIF(  'TOTALI PIZZE'!A:A,D44,'TOTALI PIZZE'!B:B)=0,"NEW","")</f>
        <v/>
      </c>
    </row>
    <row r="45" ht="15.75" customHeight="1">
      <c r="A45" s="20"/>
      <c r="B45" s="21">
        <f>MIN(SUMIF(INGREDIENTI!$B$2:$B$114,E45,INGREDIENTI!$D$2:$D$114),SUMIF(INGREDIENTI!$B$2:$B$114,F45,INGREDIENTI!$D$2:$D$114),SUMIF(INGREDIENTI!$B$2:$B$114,G45,INGREDIENTI!$D$2:$D$114),SUMIF(INGREDIENTI!$B$2:$B$114,H45,INGREDIENTI!$D$2:$D$114),SUMIF(INGREDIENTI!$B$2:$B$114,I45,INGREDIENTI!$D$2:$D$114),SUMIF(INGREDIENTI!$B$2:$B$114,J45,INGREDIENTI!$D$2:$D$114),SUMIF(INGREDIENTI!$B$2:$B$114,K45,INGREDIENTI!$D$2:$D$114),SUMIF(INGREDIENTI!$B$2:$B$114,L45,INGREDIENTI!$D$2:$D$114))</f>
        <v>0</v>
      </c>
      <c r="C45" s="22" t="s">
        <v>30</v>
      </c>
      <c r="D45" s="23" t="s">
        <v>180</v>
      </c>
      <c r="E45" s="24" t="s">
        <v>28</v>
      </c>
      <c r="F45" s="24" t="s">
        <v>25</v>
      </c>
      <c r="G45" s="24" t="s">
        <v>181</v>
      </c>
      <c r="H45" s="24" t="s">
        <v>182</v>
      </c>
      <c r="I45" s="24" t="s">
        <v>26</v>
      </c>
      <c r="J45" s="24" t="s">
        <v>36</v>
      </c>
      <c r="K45" s="24" t="s">
        <v>28</v>
      </c>
      <c r="L45" s="24" t="s">
        <v>28</v>
      </c>
      <c r="M45" s="26" t="str">
        <f t="shared" si="1"/>
        <v/>
      </c>
      <c r="N45" s="27"/>
      <c r="O45" s="28">
        <f>SUMIF( 'TOTALI PIZZE'!A:A,D45,'TOTALI PIZZE'!B:B)</f>
        <v>1</v>
      </c>
      <c r="P45" s="29" t="s">
        <v>183</v>
      </c>
      <c r="Q45" s="30" t="str">
        <f>if(SUMIF(  'TOTALI PIZZE'!A:A,D45,'TOTALI PIZZE'!B:B)=0,"NEW","")</f>
        <v/>
      </c>
    </row>
    <row r="46" ht="15.75" customHeight="1">
      <c r="A46" s="20"/>
      <c r="B46" s="21">
        <f>MIN(SUMIF(INGREDIENTI!$B$2:$B$114,E46,INGREDIENTI!$D$2:$D$114),SUMIF(INGREDIENTI!$B$2:$B$114,F46,INGREDIENTI!$D$2:$D$114),SUMIF(INGREDIENTI!$B$2:$B$114,G46,INGREDIENTI!$D$2:$D$114),SUMIF(INGREDIENTI!$B$2:$B$114,H46,INGREDIENTI!$D$2:$D$114),SUMIF(INGREDIENTI!$B$2:$B$114,I46,INGREDIENTI!$D$2:$D$114),SUMIF(INGREDIENTI!$B$2:$B$114,J46,INGREDIENTI!$D$2:$D$114),SUMIF(INGREDIENTI!$B$2:$B$114,K46,INGREDIENTI!$D$2:$D$114),SUMIF(INGREDIENTI!$B$2:$B$114,L46,INGREDIENTI!$D$2:$D$114))</f>
        <v>0</v>
      </c>
      <c r="C46" s="22" t="s">
        <v>30</v>
      </c>
      <c r="D46" s="23" t="s">
        <v>184</v>
      </c>
      <c r="E46" s="24" t="s">
        <v>28</v>
      </c>
      <c r="F46" s="25" t="s">
        <v>25</v>
      </c>
      <c r="G46" s="24" t="s">
        <v>169</v>
      </c>
      <c r="H46" s="24" t="s">
        <v>185</v>
      </c>
      <c r="I46" s="24" t="s">
        <v>26</v>
      </c>
      <c r="J46" s="24" t="s">
        <v>28</v>
      </c>
      <c r="K46" s="24" t="s">
        <v>28</v>
      </c>
      <c r="L46" s="24" t="s">
        <v>28</v>
      </c>
      <c r="M46" s="26" t="str">
        <f t="shared" si="1"/>
        <v/>
      </c>
      <c r="N46" s="27"/>
      <c r="O46" s="28">
        <f>SUMIF( 'TOTALI PIZZE'!A:A,D46,'TOTALI PIZZE'!B:B)</f>
        <v>0</v>
      </c>
      <c r="P46" s="29" t="s">
        <v>186</v>
      </c>
      <c r="Q46" s="30" t="str">
        <f>if(SUMIF(  'TOTALI PIZZE'!A:A,D46,'TOTALI PIZZE'!B:B)=0,"NEW","")</f>
        <v>NEW</v>
      </c>
    </row>
    <row r="47" ht="15.75" customHeight="1">
      <c r="A47" s="20"/>
      <c r="B47" s="21">
        <f>MIN(SUMIF(INGREDIENTI!$B$2:$B$114,E47,INGREDIENTI!$D$2:$D$114),SUMIF(INGREDIENTI!$B$2:$B$114,F47,INGREDIENTI!$D$2:$D$114),SUMIF(INGREDIENTI!$B$2:$B$114,G47,INGREDIENTI!$D$2:$D$114),SUMIF(INGREDIENTI!$B$2:$B$114,H47,INGREDIENTI!$D$2:$D$114),SUMIF(INGREDIENTI!$B$2:$B$114,I47,INGREDIENTI!$D$2:$D$114),SUMIF(INGREDIENTI!$B$2:$B$114,J47,INGREDIENTI!$D$2:$D$114),SUMIF(INGREDIENTI!$B$2:$B$114,K47,INGREDIENTI!$D$2:$D$114),SUMIF(INGREDIENTI!$B$2:$B$114,L47,INGREDIENTI!$D$2:$D$114))</f>
        <v>0</v>
      </c>
      <c r="C47" s="22" t="s">
        <v>30</v>
      </c>
      <c r="D47" s="23" t="s">
        <v>187</v>
      </c>
      <c r="E47" s="24" t="s">
        <v>28</v>
      </c>
      <c r="F47" s="24" t="s">
        <v>28</v>
      </c>
      <c r="G47" s="24" t="s">
        <v>188</v>
      </c>
      <c r="H47" s="24" t="s">
        <v>40</v>
      </c>
      <c r="I47" s="24" t="s">
        <v>170</v>
      </c>
      <c r="J47" s="24" t="s">
        <v>28</v>
      </c>
      <c r="K47" s="24" t="s">
        <v>28</v>
      </c>
      <c r="L47" s="24" t="s">
        <v>28</v>
      </c>
      <c r="M47" s="26" t="str">
        <f t="shared" si="1"/>
        <v/>
      </c>
      <c r="N47" s="27"/>
      <c r="O47" s="28">
        <f>SUMIF( 'TOTALI PIZZE'!A:A,D47,'TOTALI PIZZE'!B:B)</f>
        <v>2</v>
      </c>
      <c r="P47" s="29" t="s">
        <v>189</v>
      </c>
      <c r="Q47" s="30" t="str">
        <f>if(SUMIF(  'TOTALI PIZZE'!A:A,D47,'TOTALI PIZZE'!B:B)=0,"NEW","")</f>
        <v/>
      </c>
    </row>
    <row r="48" ht="15.75" customHeight="1">
      <c r="A48" s="20"/>
      <c r="B48" s="21">
        <f>MIN(SUMIF(INGREDIENTI!$B$2:$B$114,E48,INGREDIENTI!$D$2:$D$114),SUMIF(INGREDIENTI!$B$2:$B$114,F48,INGREDIENTI!$D$2:$D$114),SUMIF(INGREDIENTI!$B$2:$B$114,G48,INGREDIENTI!$D$2:$D$114),SUMIF(INGREDIENTI!$B$2:$B$114,H48,INGREDIENTI!$D$2:$D$114),SUMIF(INGREDIENTI!$B$2:$B$114,I48,INGREDIENTI!$D$2:$D$114),SUMIF(INGREDIENTI!$B$2:$B$114,J48,INGREDIENTI!$D$2:$D$114),SUMIF(INGREDIENTI!$B$2:$B$114,K48,INGREDIENTI!$D$2:$D$114),SUMIF(INGREDIENTI!$B$2:$B$114,L48,INGREDIENTI!$D$2:$D$114))</f>
        <v>0</v>
      </c>
      <c r="C48" s="22" t="s">
        <v>30</v>
      </c>
      <c r="D48" s="23" t="s">
        <v>190</v>
      </c>
      <c r="E48" s="24" t="s">
        <v>28</v>
      </c>
      <c r="F48" s="25" t="s">
        <v>25</v>
      </c>
      <c r="G48" s="24" t="s">
        <v>191</v>
      </c>
      <c r="H48" s="24" t="s">
        <v>103</v>
      </c>
      <c r="I48" s="24" t="s">
        <v>104</v>
      </c>
      <c r="J48" s="24" t="s">
        <v>34</v>
      </c>
      <c r="K48" s="24" t="s">
        <v>28</v>
      </c>
      <c r="L48" s="24" t="s">
        <v>28</v>
      </c>
      <c r="M48" s="26" t="str">
        <f t="shared" si="1"/>
        <v/>
      </c>
      <c r="N48" s="27"/>
      <c r="O48" s="28">
        <f>SUMIF( 'TOTALI PIZZE'!A:A,D48,'TOTALI PIZZE'!B:B)</f>
        <v>2</v>
      </c>
      <c r="P48" s="29" t="s">
        <v>192</v>
      </c>
      <c r="Q48" s="30" t="str">
        <f>if(SUMIF(  'TOTALI PIZZE'!A:A,D48,'TOTALI PIZZE'!B:B)=0,"NEW","")</f>
        <v/>
      </c>
    </row>
    <row r="49" ht="15.75" customHeight="1">
      <c r="A49" s="20"/>
      <c r="B49" s="21">
        <f>MIN(SUMIF(INGREDIENTI!$B$2:$B$114,E49,INGREDIENTI!$D$2:$D$114),SUMIF(INGREDIENTI!$B$2:$B$114,F49,INGREDIENTI!$D$2:$D$114),SUMIF(INGREDIENTI!$B$2:$B$114,G49,INGREDIENTI!$D$2:$D$114),SUMIF(INGREDIENTI!$B$2:$B$114,H49,INGREDIENTI!$D$2:$D$114),SUMIF(INGREDIENTI!$B$2:$B$114,I49,INGREDIENTI!$D$2:$D$114),SUMIF(INGREDIENTI!$B$2:$B$114,J49,INGREDIENTI!$D$2:$D$114),SUMIF(INGREDIENTI!$B$2:$B$114,K49,INGREDIENTI!$D$2:$D$114),SUMIF(INGREDIENTI!$B$2:$B$114,L49,INGREDIENTI!$D$2:$D$114))</f>
        <v>0</v>
      </c>
      <c r="C49" s="22" t="s">
        <v>30</v>
      </c>
      <c r="D49" s="23" t="s">
        <v>193</v>
      </c>
      <c r="E49" s="24" t="s">
        <v>28</v>
      </c>
      <c r="F49" s="24" t="s">
        <v>25</v>
      </c>
      <c r="G49" s="24" t="s">
        <v>194</v>
      </c>
      <c r="H49" s="24" t="s">
        <v>195</v>
      </c>
      <c r="I49" s="24" t="s">
        <v>28</v>
      </c>
      <c r="J49" s="24" t="s">
        <v>28</v>
      </c>
      <c r="K49" s="24" t="s">
        <v>28</v>
      </c>
      <c r="L49" s="24" t="s">
        <v>28</v>
      </c>
      <c r="M49" s="26" t="str">
        <f t="shared" si="1"/>
        <v/>
      </c>
      <c r="N49" s="27"/>
      <c r="O49" s="28">
        <f>SUMIF( 'TOTALI PIZZE'!A:A,D49,'TOTALI PIZZE'!B:B)</f>
        <v>7</v>
      </c>
      <c r="P49" s="29" t="s">
        <v>196</v>
      </c>
      <c r="Q49" s="30" t="str">
        <f>if(SUMIF(  'TOTALI PIZZE'!A:A,D49,'TOTALI PIZZE'!B:B)=0,"NEW","")</f>
        <v/>
      </c>
    </row>
    <row r="50" ht="15.75" customHeight="1">
      <c r="A50" s="20"/>
      <c r="B50" s="21">
        <f>MIN(SUMIF(INGREDIENTI!$B$2:$B$114,E50,INGREDIENTI!$D$2:$D$114),SUMIF(INGREDIENTI!$B$2:$B$114,F50,INGREDIENTI!$D$2:$D$114),SUMIF(INGREDIENTI!$B$2:$B$114,G50,INGREDIENTI!$D$2:$D$114),SUMIF(INGREDIENTI!$B$2:$B$114,H50,INGREDIENTI!$D$2:$D$114),SUMIF(INGREDIENTI!$B$2:$B$114,I50,INGREDIENTI!$D$2:$D$114),SUMIF(INGREDIENTI!$B$2:$B$114,J50,INGREDIENTI!$D$2:$D$114),SUMIF(INGREDIENTI!$B$2:$B$114,K50,INGREDIENTI!$D$2:$D$114),SUMIF(INGREDIENTI!$B$2:$B$114,L50,INGREDIENTI!$D$2:$D$114))</f>
        <v>0</v>
      </c>
      <c r="C50" s="22" t="s">
        <v>30</v>
      </c>
      <c r="D50" s="23" t="s">
        <v>197</v>
      </c>
      <c r="E50" s="24" t="s">
        <v>28</v>
      </c>
      <c r="F50" s="24" t="s">
        <v>25</v>
      </c>
      <c r="G50" s="24" t="s">
        <v>40</v>
      </c>
      <c r="H50" s="24" t="s">
        <v>198</v>
      </c>
      <c r="I50" s="24" t="s">
        <v>36</v>
      </c>
      <c r="J50" s="24" t="s">
        <v>28</v>
      </c>
      <c r="K50" s="24" t="s">
        <v>28</v>
      </c>
      <c r="L50" s="24" t="s">
        <v>28</v>
      </c>
      <c r="M50" s="26" t="str">
        <f t="shared" si="1"/>
        <v/>
      </c>
      <c r="N50" s="27"/>
      <c r="O50" s="28">
        <f>SUMIF( 'TOTALI PIZZE'!A:A,D50,'TOTALI PIZZE'!B:B)</f>
        <v>0</v>
      </c>
      <c r="P50" s="29" t="s">
        <v>199</v>
      </c>
      <c r="Q50" s="30" t="str">
        <f>if(SUMIF(  'TOTALI PIZZE'!A:A,D50,'TOTALI PIZZE'!B:B)=0,"NEW","")</f>
        <v>NEW</v>
      </c>
    </row>
    <row r="51" ht="15.75" customHeight="1">
      <c r="A51" s="20"/>
      <c r="B51" s="21">
        <f>MIN(SUMIF(INGREDIENTI!$B$2:$B$114,E51,INGREDIENTI!$D$2:$D$114),SUMIF(INGREDIENTI!$B$2:$B$114,F51,INGREDIENTI!$D$2:$D$114),SUMIF(INGREDIENTI!$B$2:$B$114,G51,INGREDIENTI!$D$2:$D$114),SUMIF(INGREDIENTI!$B$2:$B$114,H51,INGREDIENTI!$D$2:$D$114),SUMIF(INGREDIENTI!$B$2:$B$114,I51,INGREDIENTI!$D$2:$D$114),SUMIF(INGREDIENTI!$B$2:$B$114,J51,INGREDIENTI!$D$2:$D$114),SUMIF(INGREDIENTI!$B$2:$B$114,K51,INGREDIENTI!$D$2:$D$114),SUMIF(INGREDIENTI!$B$2:$B$114,L51,INGREDIENTI!$D$2:$D$114))</f>
        <v>0</v>
      </c>
      <c r="C51" s="22" t="s">
        <v>30</v>
      </c>
      <c r="D51" s="23" t="s">
        <v>200</v>
      </c>
      <c r="E51" s="24" t="s">
        <v>24</v>
      </c>
      <c r="F51" s="25" t="s">
        <v>25</v>
      </c>
      <c r="G51" s="24" t="s">
        <v>26</v>
      </c>
      <c r="H51" s="24" t="s">
        <v>98</v>
      </c>
      <c r="I51" s="24" t="s">
        <v>201</v>
      </c>
      <c r="J51" s="24" t="s">
        <v>202</v>
      </c>
      <c r="K51" s="24" t="s">
        <v>28</v>
      </c>
      <c r="L51" s="24" t="s">
        <v>28</v>
      </c>
      <c r="M51" s="26" t="str">
        <f t="shared" si="1"/>
        <v/>
      </c>
      <c r="N51" s="27"/>
      <c r="O51" s="28">
        <f>SUMIF( 'TOTALI PIZZE'!A:A,D51,'TOTALI PIZZE'!B:B)</f>
        <v>2</v>
      </c>
      <c r="P51" s="29" t="s">
        <v>203</v>
      </c>
      <c r="Q51" s="30" t="str">
        <f>if(SUMIF(  'TOTALI PIZZE'!A:A,D51,'TOTALI PIZZE'!B:B)=0,"NEW","")</f>
        <v/>
      </c>
    </row>
    <row r="52" ht="15.75" customHeight="1">
      <c r="A52" s="20"/>
      <c r="B52" s="21">
        <f>MIN(SUMIF(INGREDIENTI!$B$2:$B$114,E52,INGREDIENTI!$D$2:$D$114),SUMIF(INGREDIENTI!$B$2:$B$114,F52,INGREDIENTI!$D$2:$D$114),SUMIF(INGREDIENTI!$B$2:$B$114,G52,INGREDIENTI!$D$2:$D$114),SUMIF(INGREDIENTI!$B$2:$B$114,H52,INGREDIENTI!$D$2:$D$114),SUMIF(INGREDIENTI!$B$2:$B$114,I52,INGREDIENTI!$D$2:$D$114),SUMIF(INGREDIENTI!$B$2:$B$114,J52,INGREDIENTI!$D$2:$D$114),SUMIF(INGREDIENTI!$B$2:$B$114,K52,INGREDIENTI!$D$2:$D$114),SUMIF(INGREDIENTI!$B$2:$B$114,L52,INGREDIENTI!$D$2:$D$114))</f>
        <v>0</v>
      </c>
      <c r="C52" s="22" t="s">
        <v>30</v>
      </c>
      <c r="D52" s="23" t="s">
        <v>204</v>
      </c>
      <c r="E52" s="24" t="s">
        <v>28</v>
      </c>
      <c r="F52" s="24" t="s">
        <v>25</v>
      </c>
      <c r="G52" s="24" t="s">
        <v>40</v>
      </c>
      <c r="H52" s="24" t="s">
        <v>39</v>
      </c>
      <c r="I52" s="24" t="s">
        <v>205</v>
      </c>
      <c r="J52" s="24" t="s">
        <v>206</v>
      </c>
      <c r="K52" s="24" t="s">
        <v>28</v>
      </c>
      <c r="L52" s="24" t="s">
        <v>28</v>
      </c>
      <c r="M52" s="26" t="str">
        <f t="shared" si="1"/>
        <v/>
      </c>
      <c r="N52" s="27"/>
      <c r="O52" s="28">
        <f>SUMIF( 'TOTALI PIZZE'!A:A,D52,'TOTALI PIZZE'!B:B)</f>
        <v>1</v>
      </c>
      <c r="P52" s="29" t="s">
        <v>207</v>
      </c>
      <c r="Q52" s="30" t="str">
        <f>if(SUMIF(  'TOTALI PIZZE'!A:A,D52,'TOTALI PIZZE'!B:B)=0,"NEW","")</f>
        <v/>
      </c>
    </row>
    <row r="53" ht="15.75" customHeight="1">
      <c r="A53" s="20"/>
      <c r="B53" s="21">
        <f>MIN(SUMIF(INGREDIENTI!$B$2:$B$114,E53,INGREDIENTI!$D$2:$D$114),SUMIF(INGREDIENTI!$B$2:$B$114,F53,INGREDIENTI!$D$2:$D$114),SUMIF(INGREDIENTI!$B$2:$B$114,G53,INGREDIENTI!$D$2:$D$114),SUMIF(INGREDIENTI!$B$2:$B$114,H53,INGREDIENTI!$D$2:$D$114),SUMIF(INGREDIENTI!$B$2:$B$114,I53,INGREDIENTI!$D$2:$D$114),SUMIF(INGREDIENTI!$B$2:$B$114,J53,INGREDIENTI!$D$2:$D$114),SUMIF(INGREDIENTI!$B$2:$B$114,K53,INGREDIENTI!$D$2:$D$114),SUMIF(INGREDIENTI!$B$2:$B$114,L53,INGREDIENTI!$D$2:$D$114))</f>
        <v>0</v>
      </c>
      <c r="C53" s="22" t="s">
        <v>30</v>
      </c>
      <c r="D53" s="23" t="s">
        <v>208</v>
      </c>
      <c r="E53" s="24" t="s">
        <v>28</v>
      </c>
      <c r="F53" s="24" t="s">
        <v>25</v>
      </c>
      <c r="G53" s="24" t="s">
        <v>117</v>
      </c>
      <c r="H53" s="24" t="s">
        <v>209</v>
      </c>
      <c r="I53" s="24" t="s">
        <v>155</v>
      </c>
      <c r="J53" s="24" t="s">
        <v>28</v>
      </c>
      <c r="K53" s="24" t="s">
        <v>28</v>
      </c>
      <c r="L53" s="24" t="s">
        <v>28</v>
      </c>
      <c r="M53" s="26" t="str">
        <f t="shared" si="1"/>
        <v/>
      </c>
      <c r="N53" s="27"/>
      <c r="O53" s="28">
        <f>SUMIF( 'TOTALI PIZZE'!A:A,D53,'TOTALI PIZZE'!B:B)</f>
        <v>1</v>
      </c>
      <c r="P53" s="29" t="s">
        <v>210</v>
      </c>
      <c r="Q53" s="30" t="str">
        <f>if(SUMIF(  'TOTALI PIZZE'!A:A,D53,'TOTALI PIZZE'!B:B)=0,"NEW","")</f>
        <v/>
      </c>
    </row>
    <row r="54" ht="15.75" customHeight="1">
      <c r="A54" s="20"/>
      <c r="B54" s="21">
        <f>MIN(SUMIF(INGREDIENTI!$B$2:$B$114,E54,INGREDIENTI!$D$2:$D$114),SUMIF(INGREDIENTI!$B$2:$B$114,F54,INGREDIENTI!$D$2:$D$114),SUMIF(INGREDIENTI!$B$2:$B$114,G54,INGREDIENTI!$D$2:$D$114),SUMIF(INGREDIENTI!$B$2:$B$114,H54,INGREDIENTI!$D$2:$D$114),SUMIF(INGREDIENTI!$B$2:$B$114,I54,INGREDIENTI!$D$2:$D$114),SUMIF(INGREDIENTI!$B$2:$B$114,J54,INGREDIENTI!$D$2:$D$114),SUMIF(INGREDIENTI!$B$2:$B$114,K54,INGREDIENTI!$D$2:$D$114),SUMIF(INGREDIENTI!$B$2:$B$114,L54,INGREDIENTI!$D$2:$D$114))</f>
        <v>0</v>
      </c>
      <c r="C54" s="22" t="s">
        <v>30</v>
      </c>
      <c r="D54" s="23" t="s">
        <v>211</v>
      </c>
      <c r="E54" s="24" t="s">
        <v>28</v>
      </c>
      <c r="F54" s="24" t="s">
        <v>25</v>
      </c>
      <c r="G54" s="24" t="s">
        <v>212</v>
      </c>
      <c r="H54" s="24" t="s">
        <v>201</v>
      </c>
      <c r="I54" s="24" t="s">
        <v>87</v>
      </c>
      <c r="J54" s="24" t="s">
        <v>213</v>
      </c>
      <c r="K54" s="24" t="s">
        <v>28</v>
      </c>
      <c r="L54" s="24" t="s">
        <v>28</v>
      </c>
      <c r="M54" s="26" t="str">
        <f t="shared" si="1"/>
        <v/>
      </c>
      <c r="N54" s="27"/>
      <c r="O54" s="28">
        <f>SUMIF( 'TOTALI PIZZE'!A:A,D54,'TOTALI PIZZE'!B:B)</f>
        <v>1</v>
      </c>
      <c r="P54" s="29" t="s">
        <v>214</v>
      </c>
      <c r="Q54" s="30" t="str">
        <f>if(SUMIF(  'TOTALI PIZZE'!A:A,D54,'TOTALI PIZZE'!B:B)=0,"NEW","")</f>
        <v/>
      </c>
    </row>
    <row r="55" ht="15.75" customHeight="1">
      <c r="A55" s="20"/>
      <c r="B55" s="21">
        <f>MIN(SUMIF(INGREDIENTI!$B$2:$B$114,E55,INGREDIENTI!$D$2:$D$114),SUMIF(INGREDIENTI!$B$2:$B$114,F55,INGREDIENTI!$D$2:$D$114),SUMIF(INGREDIENTI!$B$2:$B$114,G55,INGREDIENTI!$D$2:$D$114),SUMIF(INGREDIENTI!$B$2:$B$114,H55,INGREDIENTI!$D$2:$D$114),SUMIF(INGREDIENTI!$B$2:$B$114,I55,INGREDIENTI!$D$2:$D$114),SUMIF(INGREDIENTI!$B$2:$B$114,J55,INGREDIENTI!$D$2:$D$114),SUMIF(INGREDIENTI!$B$2:$B$114,K55,INGREDIENTI!$D$2:$D$114),SUMIF(INGREDIENTI!$B$2:$B$114,L55,INGREDIENTI!$D$2:$D$114))</f>
        <v>0</v>
      </c>
      <c r="C55" s="22" t="s">
        <v>30</v>
      </c>
      <c r="D55" s="23" t="s">
        <v>215</v>
      </c>
      <c r="E55" s="24" t="s">
        <v>28</v>
      </c>
      <c r="F55" s="25" t="s">
        <v>25</v>
      </c>
      <c r="G55" s="24" t="s">
        <v>216</v>
      </c>
      <c r="H55" s="24" t="s">
        <v>111</v>
      </c>
      <c r="I55" s="24" t="s">
        <v>26</v>
      </c>
      <c r="J55" s="24" t="s">
        <v>27</v>
      </c>
      <c r="K55" s="24" t="s">
        <v>28</v>
      </c>
      <c r="L55" s="24" t="s">
        <v>28</v>
      </c>
      <c r="M55" s="26" t="str">
        <f t="shared" si="1"/>
        <v/>
      </c>
      <c r="N55" s="27"/>
      <c r="O55" s="28">
        <f>SUMIF( 'TOTALI PIZZE'!A:A,D55,'TOTALI PIZZE'!B:B)</f>
        <v>1</v>
      </c>
      <c r="P55" s="29" t="s">
        <v>217</v>
      </c>
      <c r="Q55" s="30" t="str">
        <f>if(SUMIF(  'TOTALI PIZZE'!A:A,D55,'TOTALI PIZZE'!B:B)=0,"NEW","")</f>
        <v/>
      </c>
    </row>
    <row r="56" ht="15.75" customHeight="1">
      <c r="A56" s="20"/>
      <c r="B56" s="21">
        <f>MIN(SUMIF(INGREDIENTI!$B$2:$B$114,E56,INGREDIENTI!$D$2:$D$114),SUMIF(INGREDIENTI!$B$2:$B$114,F56,INGREDIENTI!$D$2:$D$114),SUMIF(INGREDIENTI!$B$2:$B$114,G56,INGREDIENTI!$D$2:$D$114),SUMIF(INGREDIENTI!$B$2:$B$114,H56,INGREDIENTI!$D$2:$D$114),SUMIF(INGREDIENTI!$B$2:$B$114,I56,INGREDIENTI!$D$2:$D$114),SUMIF(INGREDIENTI!$B$2:$B$114,J56,INGREDIENTI!$D$2:$D$114),SUMIF(INGREDIENTI!$B$2:$B$114,K56,INGREDIENTI!$D$2:$D$114),SUMIF(INGREDIENTI!$B$2:$B$114,L56,INGREDIENTI!$D$2:$D$114))</f>
        <v>0</v>
      </c>
      <c r="C56" s="22" t="s">
        <v>30</v>
      </c>
      <c r="D56" s="23" t="s">
        <v>218</v>
      </c>
      <c r="E56" s="24" t="s">
        <v>28</v>
      </c>
      <c r="F56" s="25" t="s">
        <v>28</v>
      </c>
      <c r="G56" s="24" t="s">
        <v>219</v>
      </c>
      <c r="H56" s="24" t="s">
        <v>117</v>
      </c>
      <c r="I56" s="24" t="s">
        <v>171</v>
      </c>
      <c r="J56" s="24" t="s">
        <v>27</v>
      </c>
      <c r="K56" s="24" t="s">
        <v>36</v>
      </c>
      <c r="L56" s="24" t="s">
        <v>28</v>
      </c>
      <c r="M56" s="26" t="str">
        <f t="shared" si="1"/>
        <v/>
      </c>
      <c r="N56" s="27"/>
      <c r="O56" s="28">
        <f>SUMIF( 'TOTALI PIZZE'!A:A,D56,'TOTALI PIZZE'!B:B)</f>
        <v>1</v>
      </c>
      <c r="P56" s="29" t="s">
        <v>220</v>
      </c>
      <c r="Q56" s="30" t="str">
        <f>if(SUMIF(  'TOTALI PIZZE'!A:A,D56,'TOTALI PIZZE'!B:B)=0,"NEW","")</f>
        <v/>
      </c>
    </row>
    <row r="57" ht="15.75" customHeight="1">
      <c r="A57" s="20"/>
      <c r="B57" s="21">
        <f>MIN(SUMIF(INGREDIENTI!$B$2:$B$114,E57,INGREDIENTI!$D$2:$D$114),SUMIF(INGREDIENTI!$B$2:$B$114,F57,INGREDIENTI!$D$2:$D$114),SUMIF(INGREDIENTI!$B$2:$B$114,G57,INGREDIENTI!$D$2:$D$114),SUMIF(INGREDIENTI!$B$2:$B$114,H57,INGREDIENTI!$D$2:$D$114),SUMIF(INGREDIENTI!$B$2:$B$114,I57,INGREDIENTI!$D$2:$D$114),SUMIF(INGREDIENTI!$B$2:$B$114,J57,INGREDIENTI!$D$2:$D$114),SUMIF(INGREDIENTI!$B$2:$B$114,K57,INGREDIENTI!$D$2:$D$114),SUMIF(INGREDIENTI!$B$2:$B$114,L57,INGREDIENTI!$D$2:$D$114))</f>
        <v>0</v>
      </c>
      <c r="C57" s="22" t="s">
        <v>123</v>
      </c>
      <c r="D57" s="23" t="s">
        <v>221</v>
      </c>
      <c r="E57" s="24" t="s">
        <v>24</v>
      </c>
      <c r="F57" s="24" t="s">
        <v>28</v>
      </c>
      <c r="G57" s="24" t="s">
        <v>141</v>
      </c>
      <c r="H57" s="24" t="s">
        <v>53</v>
      </c>
      <c r="I57" s="24" t="s">
        <v>27</v>
      </c>
      <c r="J57" s="24" t="s">
        <v>28</v>
      </c>
      <c r="K57" s="24" t="s">
        <v>28</v>
      </c>
      <c r="L57" s="24" t="s">
        <v>28</v>
      </c>
      <c r="M57" s="26" t="str">
        <f t="shared" si="1"/>
        <v/>
      </c>
      <c r="N57" s="27"/>
      <c r="O57" s="28">
        <f>SUMIF( 'TOTALI PIZZE'!A:A,D57,'TOTALI PIZZE'!B:B)</f>
        <v>1</v>
      </c>
      <c r="P57" s="29" t="s">
        <v>222</v>
      </c>
      <c r="Q57" s="30" t="str">
        <f>if(SUMIF(  'TOTALI PIZZE'!A:A,D57,'TOTALI PIZZE'!B:B)=0,"NEW","")</f>
        <v/>
      </c>
    </row>
    <row r="58" ht="15.75" customHeight="1">
      <c r="A58" s="20"/>
      <c r="B58" s="21">
        <f>MIN(SUMIF(INGREDIENTI!$B$2:$B$114,E58,INGREDIENTI!$D$2:$D$114),SUMIF(INGREDIENTI!$B$2:$B$114,F58,INGREDIENTI!$D$2:$D$114),SUMIF(INGREDIENTI!$B$2:$B$114,G58,INGREDIENTI!$D$2:$D$114),SUMIF(INGREDIENTI!$B$2:$B$114,H58,INGREDIENTI!$D$2:$D$114),SUMIF(INGREDIENTI!$B$2:$B$114,I58,INGREDIENTI!$D$2:$D$114),SUMIF(INGREDIENTI!$B$2:$B$114,J58,INGREDIENTI!$D$2:$D$114),SUMIF(INGREDIENTI!$B$2:$B$114,K58,INGREDIENTI!$D$2:$D$114),SUMIF(INGREDIENTI!$B$2:$B$114,L58,INGREDIENTI!$D$2:$D$114))</f>
        <v>0</v>
      </c>
      <c r="C58" s="22" t="s">
        <v>30</v>
      </c>
      <c r="D58" s="23" t="s">
        <v>223</v>
      </c>
      <c r="E58" s="24" t="s">
        <v>24</v>
      </c>
      <c r="F58" s="25" t="s">
        <v>25</v>
      </c>
      <c r="G58" s="24" t="s">
        <v>224</v>
      </c>
      <c r="H58" s="24" t="s">
        <v>53</v>
      </c>
      <c r="I58" s="24" t="s">
        <v>27</v>
      </c>
      <c r="J58" s="24" t="s">
        <v>28</v>
      </c>
      <c r="K58" s="24" t="s">
        <v>28</v>
      </c>
      <c r="L58" s="24" t="s">
        <v>28</v>
      </c>
      <c r="M58" s="26" t="str">
        <f t="shared" si="1"/>
        <v/>
      </c>
      <c r="N58" s="27"/>
      <c r="O58" s="28">
        <f>SUMIF( 'TOTALI PIZZE'!A:A,D58,'TOTALI PIZZE'!B:B)</f>
        <v>0</v>
      </c>
      <c r="P58" s="29"/>
      <c r="Q58" s="30" t="str">
        <f>if(SUMIF(  'TOTALI PIZZE'!A:A,D58,'TOTALI PIZZE'!B:B)=0,"NEW","")</f>
        <v>NEW</v>
      </c>
    </row>
    <row r="59" ht="15.75" customHeight="1">
      <c r="A59" s="20"/>
      <c r="B59" s="21">
        <f>MIN(SUMIF(INGREDIENTI!$B$2:$B$114,E59,INGREDIENTI!$D$2:$D$114),SUMIF(INGREDIENTI!$B$2:$B$114,F59,INGREDIENTI!$D$2:$D$114),SUMIF(INGREDIENTI!$B$2:$B$114,G59,INGREDIENTI!$D$2:$D$114),SUMIF(INGREDIENTI!$B$2:$B$114,H59,INGREDIENTI!$D$2:$D$114),SUMIF(INGREDIENTI!$B$2:$B$114,I59,INGREDIENTI!$D$2:$D$114),SUMIF(INGREDIENTI!$B$2:$B$114,J59,INGREDIENTI!$D$2:$D$114),SUMIF(INGREDIENTI!$B$2:$B$114,K59,INGREDIENTI!$D$2:$D$114),SUMIF(INGREDIENTI!$B$2:$B$114,L59,INGREDIENTI!$D$2:$D$114))</f>
        <v>0</v>
      </c>
      <c r="C59" s="32" t="s">
        <v>30</v>
      </c>
      <c r="D59" s="33" t="s">
        <v>225</v>
      </c>
      <c r="E59" s="25" t="s">
        <v>28</v>
      </c>
      <c r="F59" s="25" t="s">
        <v>25</v>
      </c>
      <c r="G59" s="25" t="s">
        <v>95</v>
      </c>
      <c r="H59" s="25" t="s">
        <v>39</v>
      </c>
      <c r="I59" s="25" t="s">
        <v>130</v>
      </c>
      <c r="J59" s="25" t="s">
        <v>28</v>
      </c>
      <c r="K59" s="25" t="s">
        <v>28</v>
      </c>
      <c r="L59" s="25" t="s">
        <v>28</v>
      </c>
      <c r="M59" s="26" t="str">
        <f t="shared" si="1"/>
        <v/>
      </c>
      <c r="N59" s="34"/>
      <c r="O59" s="28">
        <f>SUMIF( 'TOTALI PIZZE'!A:A,D59,'TOTALI PIZZE'!B:B)</f>
        <v>0</v>
      </c>
      <c r="P59" s="29"/>
      <c r="Q59" s="30" t="str">
        <f>if(SUMIF(  'TOTALI PIZZE'!A:A,D59,'TOTALI PIZZE'!B:B)=0,"NEW","")</f>
        <v>NEW</v>
      </c>
    </row>
    <row r="60" ht="15.75" customHeight="1">
      <c r="A60" s="20"/>
      <c r="B60" s="21">
        <f>MIN(SUMIF(INGREDIENTI!$B$2:$B$114,E60,INGREDIENTI!$D$2:$D$114),SUMIF(INGREDIENTI!$B$2:$B$114,F60,INGREDIENTI!$D$2:$D$114),SUMIF(INGREDIENTI!$B$2:$B$114,G60,INGREDIENTI!$D$2:$D$114),SUMIF(INGREDIENTI!$B$2:$B$114,H60,INGREDIENTI!$D$2:$D$114),SUMIF(INGREDIENTI!$B$2:$B$114,I60,INGREDIENTI!$D$2:$D$114),SUMIF(INGREDIENTI!$B$2:$B$114,J60,INGREDIENTI!$D$2:$D$114),SUMIF(INGREDIENTI!$B$2:$B$114,K60,INGREDIENTI!$D$2:$D$114),SUMIF(INGREDIENTI!$B$2:$B$114,L60,INGREDIENTI!$D$2:$D$114))</f>
        <v>0</v>
      </c>
      <c r="C60" s="22" t="s">
        <v>22</v>
      </c>
      <c r="D60" s="23" t="s">
        <v>226</v>
      </c>
      <c r="E60" s="24" t="s">
        <v>24</v>
      </c>
      <c r="F60" s="24" t="s">
        <v>28</v>
      </c>
      <c r="G60" s="24" t="s">
        <v>53</v>
      </c>
      <c r="H60" s="24" t="s">
        <v>227</v>
      </c>
      <c r="I60" s="24" t="s">
        <v>55</v>
      </c>
      <c r="J60" s="24" t="s">
        <v>27</v>
      </c>
      <c r="K60" s="24" t="s">
        <v>28</v>
      </c>
      <c r="L60" s="24" t="s">
        <v>28</v>
      </c>
      <c r="M60" s="26" t="str">
        <f t="shared" si="1"/>
        <v/>
      </c>
      <c r="N60" s="36"/>
      <c r="O60" s="28">
        <f>SUMIF( 'TOTALI PIZZE'!A:A,D60,'TOTALI PIZZE'!B:B)</f>
        <v>0</v>
      </c>
      <c r="P60" s="29"/>
      <c r="Q60" s="30" t="str">
        <f>if(SUMIF(  'TOTALI PIZZE'!A:A,D60,'TOTALI PIZZE'!B:B)=0,"NEW","")</f>
        <v>NEW</v>
      </c>
    </row>
    <row r="61" ht="15.75" customHeight="1">
      <c r="A61" s="20"/>
      <c r="B61" s="21">
        <f>MIN(SUMIF(INGREDIENTI!$B$2:$B$114,E61,INGREDIENTI!$D$2:$D$114),SUMIF(INGREDIENTI!$B$2:$B$114,F61,INGREDIENTI!$D$2:$D$114),SUMIF(INGREDIENTI!$B$2:$B$114,G61,INGREDIENTI!$D$2:$D$114),SUMIF(INGREDIENTI!$B$2:$B$114,H61,INGREDIENTI!$D$2:$D$114),SUMIF(INGREDIENTI!$B$2:$B$114,I61,INGREDIENTI!$D$2:$D$114),SUMIF(INGREDIENTI!$B$2:$B$114,J61,INGREDIENTI!$D$2:$D$114),SUMIF(INGREDIENTI!$B$2:$B$114,K61,INGREDIENTI!$D$2:$D$114),SUMIF(INGREDIENTI!$B$2:$B$114,L61,INGREDIENTI!$D$2:$D$114))</f>
        <v>0</v>
      </c>
      <c r="C61" s="22" t="s">
        <v>22</v>
      </c>
      <c r="D61" s="23" t="s">
        <v>228</v>
      </c>
      <c r="E61" s="24" t="s">
        <v>24</v>
      </c>
      <c r="F61" s="25" t="s">
        <v>25</v>
      </c>
      <c r="G61" s="24" t="s">
        <v>104</v>
      </c>
      <c r="H61" s="24" t="s">
        <v>229</v>
      </c>
      <c r="I61" s="24" t="s">
        <v>28</v>
      </c>
      <c r="J61" s="24" t="s">
        <v>28</v>
      </c>
      <c r="K61" s="24" t="s">
        <v>28</v>
      </c>
      <c r="L61" s="24" t="s">
        <v>28</v>
      </c>
      <c r="M61" s="26" t="str">
        <f t="shared" si="1"/>
        <v/>
      </c>
      <c r="N61" s="27"/>
      <c r="O61" s="28">
        <f>SUMIF( 'TOTALI PIZZE'!A:A,D61,'TOTALI PIZZE'!B:B)</f>
        <v>1</v>
      </c>
      <c r="P61" s="29"/>
      <c r="Q61" s="30" t="str">
        <f>if(SUMIF(  'TOTALI PIZZE'!A:A,D61,'TOTALI PIZZE'!B:B)=0,"NEW","")</f>
        <v/>
      </c>
    </row>
    <row r="62" ht="15.75" customHeight="1">
      <c r="A62" s="38"/>
      <c r="B62" s="21">
        <f>MIN(SUMIF(INGREDIENTI!$B$2:$B$114,E62,INGREDIENTI!$D$2:$D$114),SUMIF(INGREDIENTI!$B$2:$B$114,F62,INGREDIENTI!$D$2:$D$114),SUMIF(INGREDIENTI!$B$2:$B$114,G62,INGREDIENTI!$D$2:$D$114),SUMIF(INGREDIENTI!$B$2:$B$114,H62,INGREDIENTI!$D$2:$D$114),SUMIF(INGREDIENTI!$B$2:$B$114,I62,INGREDIENTI!$D$2:$D$114),SUMIF(INGREDIENTI!$B$2:$B$114,J62,INGREDIENTI!$D$2:$D$114),SUMIF(INGREDIENTI!$B$2:$B$114,K62,INGREDIENTI!$D$2:$D$114),SUMIF(INGREDIENTI!$B$2:$B$114,L62,INGREDIENTI!$D$2:$D$114))</f>
        <v>0</v>
      </c>
      <c r="C62" s="22" t="s">
        <v>123</v>
      </c>
      <c r="D62" s="23" t="s">
        <v>230</v>
      </c>
      <c r="E62" s="24" t="s">
        <v>24</v>
      </c>
      <c r="F62" s="25" t="s">
        <v>25</v>
      </c>
      <c r="G62" s="24" t="s">
        <v>48</v>
      </c>
      <c r="H62" s="24" t="s">
        <v>125</v>
      </c>
      <c r="I62" s="24" t="s">
        <v>104</v>
      </c>
      <c r="J62" s="24" t="s">
        <v>231</v>
      </c>
      <c r="K62" s="24" t="s">
        <v>28</v>
      </c>
      <c r="L62" s="24" t="s">
        <v>28</v>
      </c>
      <c r="M62" s="26" t="str">
        <f t="shared" si="1"/>
        <v/>
      </c>
      <c r="N62" s="36"/>
      <c r="O62" s="28">
        <f>SUMIF( 'TOTALI PIZZE'!A:A,D62,'TOTALI PIZZE'!B:B)</f>
        <v>0</v>
      </c>
      <c r="P62" s="29"/>
      <c r="Q62" s="30" t="str">
        <f>if(SUMIF(  'TOTALI PIZZE'!A:A,D62,'TOTALI PIZZE'!B:B)=0,"NEW","")</f>
        <v>NEW</v>
      </c>
    </row>
    <row r="63" ht="15.75" customHeight="1">
      <c r="A63" s="38"/>
      <c r="B63" s="21">
        <f>MIN(SUMIF(INGREDIENTI!$B$2:$B$114,E63,INGREDIENTI!$D$2:$D$114),SUMIF(INGREDIENTI!$B$2:$B$114,F63,INGREDIENTI!$D$2:$D$114),SUMIF(INGREDIENTI!$B$2:$B$114,G63,INGREDIENTI!$D$2:$D$114),SUMIF(INGREDIENTI!$B$2:$B$114,H63,INGREDIENTI!$D$2:$D$114),SUMIF(INGREDIENTI!$B$2:$B$114,I63,INGREDIENTI!$D$2:$D$114),SUMIF(INGREDIENTI!$B$2:$B$114,J63,INGREDIENTI!$D$2:$D$114),SUMIF(INGREDIENTI!$B$2:$B$114,K63,INGREDIENTI!$D$2:$D$114),SUMIF(INGREDIENTI!$B$2:$B$114,L63,INGREDIENTI!$D$2:$D$114))</f>
        <v>0</v>
      </c>
      <c r="C63" s="22" t="s">
        <v>123</v>
      </c>
      <c r="D63" s="23" t="s">
        <v>232</v>
      </c>
      <c r="E63" s="24" t="s">
        <v>24</v>
      </c>
      <c r="F63" s="25" t="s">
        <v>25</v>
      </c>
      <c r="G63" s="24" t="s">
        <v>233</v>
      </c>
      <c r="H63" s="24" t="s">
        <v>48</v>
      </c>
      <c r="I63" s="24" t="s">
        <v>28</v>
      </c>
      <c r="J63" s="24" t="s">
        <v>28</v>
      </c>
      <c r="K63" s="24" t="s">
        <v>28</v>
      </c>
      <c r="L63" s="24" t="s">
        <v>28</v>
      </c>
      <c r="M63" s="26" t="str">
        <f t="shared" si="1"/>
        <v/>
      </c>
      <c r="N63" s="36"/>
      <c r="O63" s="28">
        <f>SUMIF( 'TOTALI PIZZE'!A:A,D63,'TOTALI PIZZE'!B:B)</f>
        <v>0</v>
      </c>
      <c r="P63" s="29"/>
      <c r="Q63" s="30" t="str">
        <f>if(SUMIF(  'TOTALI PIZZE'!A:A,D63,'TOTALI PIZZE'!B:B)=0,"NEW","")</f>
        <v>NEW</v>
      </c>
    </row>
    <row r="64" ht="15.75" customHeight="1">
      <c r="A64" s="38"/>
      <c r="B64" s="21">
        <f>MIN(SUMIF(INGREDIENTI!$B$2:$B$114,E64,INGREDIENTI!$D$2:$D$114),SUMIF(INGREDIENTI!$B$2:$B$114,F64,INGREDIENTI!$D$2:$D$114),SUMIF(INGREDIENTI!$B$2:$B$114,G64,INGREDIENTI!$D$2:$D$114),SUMIF(INGREDIENTI!$B$2:$B$114,H64,INGREDIENTI!$D$2:$D$114),SUMIF(INGREDIENTI!$B$2:$B$114,I64,INGREDIENTI!$D$2:$D$114),SUMIF(INGREDIENTI!$B$2:$B$114,J64,INGREDIENTI!$D$2:$D$114),SUMIF(INGREDIENTI!$B$2:$B$114,K64,INGREDIENTI!$D$2:$D$114),SUMIF(INGREDIENTI!$B$2:$B$114,L64,INGREDIENTI!$D$2:$D$114))</f>
        <v>0</v>
      </c>
      <c r="C64" s="22" t="s">
        <v>123</v>
      </c>
      <c r="D64" s="23" t="s">
        <v>234</v>
      </c>
      <c r="E64" s="24" t="s">
        <v>24</v>
      </c>
      <c r="F64" s="25" t="s">
        <v>25</v>
      </c>
      <c r="G64" s="24" t="s">
        <v>111</v>
      </c>
      <c r="H64" s="24" t="s">
        <v>48</v>
      </c>
      <c r="I64" s="24" t="s">
        <v>28</v>
      </c>
      <c r="J64" s="24" t="s">
        <v>28</v>
      </c>
      <c r="K64" s="24" t="s">
        <v>28</v>
      </c>
      <c r="L64" s="24" t="s">
        <v>28</v>
      </c>
      <c r="M64" s="26" t="str">
        <f t="shared" si="1"/>
        <v/>
      </c>
      <c r="N64" s="36"/>
      <c r="O64" s="28">
        <f>SUMIF( 'TOTALI PIZZE'!A:A,D64,'TOTALI PIZZE'!B:B)</f>
        <v>0</v>
      </c>
      <c r="P64" s="29"/>
      <c r="Q64" s="30" t="str">
        <f>if(SUMIF(  'TOTALI PIZZE'!A:A,D64,'TOTALI PIZZE'!B:B)=0,"NEW","")</f>
        <v>NEW</v>
      </c>
    </row>
    <row r="65" ht="15.75" customHeight="1">
      <c r="A65" s="38"/>
      <c r="B65" s="21">
        <f>MIN(SUMIF(INGREDIENTI!$B$2:$B$114,E65,INGREDIENTI!$D$2:$D$114),SUMIF(INGREDIENTI!$B$2:$B$114,F65,INGREDIENTI!$D$2:$D$114),SUMIF(INGREDIENTI!$B$2:$B$114,G65,INGREDIENTI!$D$2:$D$114),SUMIF(INGREDIENTI!$B$2:$B$114,H65,INGREDIENTI!$D$2:$D$114),SUMIF(INGREDIENTI!$B$2:$B$114,I65,INGREDIENTI!$D$2:$D$114),SUMIF(INGREDIENTI!$B$2:$B$114,J65,INGREDIENTI!$D$2:$D$114),SUMIF(INGREDIENTI!$B$2:$B$114,K65,INGREDIENTI!$D$2:$D$114),SUMIF(INGREDIENTI!$B$2:$B$114,L65,INGREDIENTI!$D$2:$D$114))</f>
        <v>0</v>
      </c>
      <c r="C65" s="22" t="s">
        <v>123</v>
      </c>
      <c r="D65" s="23" t="s">
        <v>235</v>
      </c>
      <c r="E65" s="24" t="s">
        <v>24</v>
      </c>
      <c r="F65" s="25" t="s">
        <v>25</v>
      </c>
      <c r="G65" s="24" t="s">
        <v>48</v>
      </c>
      <c r="H65" s="24" t="s">
        <v>28</v>
      </c>
      <c r="I65" s="24" t="s">
        <v>28</v>
      </c>
      <c r="J65" s="24" t="s">
        <v>28</v>
      </c>
      <c r="K65" s="24" t="s">
        <v>28</v>
      </c>
      <c r="L65" s="24" t="s">
        <v>28</v>
      </c>
      <c r="M65" s="26" t="str">
        <f t="shared" si="1"/>
        <v/>
      </c>
      <c r="N65" s="36"/>
      <c r="O65" s="28">
        <f>SUMIF( 'TOTALI PIZZE'!A:A,D65,'TOTALI PIZZE'!B:B)</f>
        <v>1</v>
      </c>
      <c r="P65" s="29"/>
      <c r="Q65" s="30" t="str">
        <f>if(SUMIF(  'TOTALI PIZZE'!A:A,D65,'TOTALI PIZZE'!B:B)=0,"NEW","")</f>
        <v/>
      </c>
    </row>
    <row r="66" ht="15.75" customHeight="1">
      <c r="A66" s="38"/>
      <c r="B66" s="21">
        <f>MIN(SUMIF(INGREDIENTI!$B$2:$B$114,E66,INGREDIENTI!$D$2:$D$114),SUMIF(INGREDIENTI!$B$2:$B$114,F66,INGREDIENTI!$D$2:$D$114),SUMIF(INGREDIENTI!$B$2:$B$114,G66,INGREDIENTI!$D$2:$D$114),SUMIF(INGREDIENTI!$B$2:$B$114,H66,INGREDIENTI!$D$2:$D$114),SUMIF(INGREDIENTI!$B$2:$B$114,I66,INGREDIENTI!$D$2:$D$114),SUMIF(INGREDIENTI!$B$2:$B$114,J66,INGREDIENTI!$D$2:$D$114),SUMIF(INGREDIENTI!$B$2:$B$114,K66,INGREDIENTI!$D$2:$D$114),SUMIF(INGREDIENTI!$B$2:$B$114,L66,INGREDIENTI!$D$2:$D$114))</f>
        <v>0</v>
      </c>
      <c r="C66" s="22" t="s">
        <v>123</v>
      </c>
      <c r="D66" s="23" t="s">
        <v>236</v>
      </c>
      <c r="E66" s="24" t="s">
        <v>24</v>
      </c>
      <c r="F66" s="25" t="s">
        <v>25</v>
      </c>
      <c r="G66" s="24" t="s">
        <v>129</v>
      </c>
      <c r="H66" s="24" t="s">
        <v>28</v>
      </c>
      <c r="I66" s="24" t="s">
        <v>28</v>
      </c>
      <c r="J66" s="24" t="s">
        <v>28</v>
      </c>
      <c r="K66" s="24" t="s">
        <v>28</v>
      </c>
      <c r="L66" s="24" t="s">
        <v>28</v>
      </c>
      <c r="M66" s="26" t="str">
        <f t="shared" si="1"/>
        <v/>
      </c>
      <c r="N66" s="36"/>
      <c r="O66" s="28">
        <f>SUMIF( 'TOTALI PIZZE'!A:A,D66,'TOTALI PIZZE'!B:B)</f>
        <v>0</v>
      </c>
      <c r="P66" s="29"/>
      <c r="Q66" s="30" t="str">
        <f>if(SUMIF(  'TOTALI PIZZE'!A:A,D66,'TOTALI PIZZE'!B:B)=0,"NEW","")</f>
        <v>NEW</v>
      </c>
    </row>
    <row r="67" ht="15.75" customHeight="1">
      <c r="A67" s="38"/>
      <c r="B67" s="21">
        <f>MIN(SUMIF(INGREDIENTI!$B$2:$B$114,E67,INGREDIENTI!$D$2:$D$114),SUMIF(INGREDIENTI!$B$2:$B$114,F67,INGREDIENTI!$D$2:$D$114),SUMIF(INGREDIENTI!$B$2:$B$114,G67,INGREDIENTI!$D$2:$D$114),SUMIF(INGREDIENTI!$B$2:$B$114,H67,INGREDIENTI!$D$2:$D$114),SUMIF(INGREDIENTI!$B$2:$B$114,I67,INGREDIENTI!$D$2:$D$114),SUMIF(INGREDIENTI!$B$2:$B$114,J67,INGREDIENTI!$D$2:$D$114),SUMIF(INGREDIENTI!$B$2:$B$114,K67,INGREDIENTI!$D$2:$D$114),SUMIF(INGREDIENTI!$B$2:$B$114,L67,INGREDIENTI!$D$2:$D$114))</f>
        <v>0</v>
      </c>
      <c r="C67" s="22" t="s">
        <v>123</v>
      </c>
      <c r="D67" s="23" t="s">
        <v>237</v>
      </c>
      <c r="E67" s="24" t="s">
        <v>24</v>
      </c>
      <c r="F67" s="25" t="s">
        <v>25</v>
      </c>
      <c r="G67" s="24" t="s">
        <v>238</v>
      </c>
      <c r="H67" s="24" t="s">
        <v>239</v>
      </c>
      <c r="I67" s="24" t="s">
        <v>36</v>
      </c>
      <c r="J67" s="24" t="s">
        <v>28</v>
      </c>
      <c r="K67" s="24" t="s">
        <v>28</v>
      </c>
      <c r="L67" s="24" t="s">
        <v>28</v>
      </c>
      <c r="M67" s="26" t="str">
        <f t="shared" si="1"/>
        <v/>
      </c>
      <c r="N67" s="36"/>
      <c r="O67" s="28">
        <f>SUMIF( 'TOTALI PIZZE'!A:A,D67,'TOTALI PIZZE'!B:B)</f>
        <v>1</v>
      </c>
      <c r="P67" s="29"/>
      <c r="Q67" s="30" t="str">
        <f>if(SUMIF(  'TOTALI PIZZE'!A:A,D67,'TOTALI PIZZE'!B:B)=0,"NEW","")</f>
        <v/>
      </c>
    </row>
    <row r="68" ht="15.75" customHeight="1">
      <c r="A68" s="20"/>
      <c r="B68" s="21">
        <f>MIN(SUMIF(INGREDIENTI!$B$2:$B$114,E68,INGREDIENTI!$D$2:$D$114),SUMIF(INGREDIENTI!$B$2:$B$114,F68,INGREDIENTI!$D$2:$D$114),SUMIF(INGREDIENTI!$B$2:$B$114,G68,INGREDIENTI!$D$2:$D$114),SUMIF(INGREDIENTI!$B$2:$B$114,H68,INGREDIENTI!$D$2:$D$114),SUMIF(INGREDIENTI!$B$2:$B$114,I68,INGREDIENTI!$D$2:$D$114),SUMIF(INGREDIENTI!$B$2:$B$114,J68,INGREDIENTI!$D$2:$D$114),SUMIF(INGREDIENTI!$B$2:$B$114,K68,INGREDIENTI!$D$2:$D$114),SUMIF(INGREDIENTI!$B$2:$B$114,L68,INGREDIENTI!$D$2:$D$114))</f>
        <v>0</v>
      </c>
      <c r="C68" s="22" t="s">
        <v>30</v>
      </c>
      <c r="D68" s="23" t="s">
        <v>240</v>
      </c>
      <c r="E68" s="24" t="s">
        <v>24</v>
      </c>
      <c r="F68" s="25" t="s">
        <v>25</v>
      </c>
      <c r="G68" s="24" t="s">
        <v>26</v>
      </c>
      <c r="H68" s="24" t="s">
        <v>227</v>
      </c>
      <c r="I68" s="24" t="s">
        <v>104</v>
      </c>
      <c r="J68" s="24" t="s">
        <v>28</v>
      </c>
      <c r="K68" s="24" t="s">
        <v>28</v>
      </c>
      <c r="L68" s="24" t="s">
        <v>28</v>
      </c>
      <c r="M68" s="26" t="str">
        <f t="shared" si="1"/>
        <v/>
      </c>
      <c r="N68" s="27"/>
      <c r="O68" s="28">
        <f>SUMIF( 'TOTALI PIZZE'!A:A,D68,'TOTALI PIZZE'!B:B)</f>
        <v>0</v>
      </c>
      <c r="P68" s="29"/>
      <c r="Q68" s="30" t="str">
        <f>if(SUMIF(  'TOTALI PIZZE'!A:A,D68,'TOTALI PIZZE'!B:B)=0,"NEW","")</f>
        <v>NEW</v>
      </c>
    </row>
    <row r="69" ht="15.75" customHeight="1">
      <c r="A69" s="38"/>
      <c r="B69" s="21">
        <f>MIN(SUMIF(INGREDIENTI!$B$2:$B$114,E69,INGREDIENTI!$D$2:$D$114),SUMIF(INGREDIENTI!$B$2:$B$114,F69,INGREDIENTI!$D$2:$D$114),SUMIF(INGREDIENTI!$B$2:$B$114,G69,INGREDIENTI!$D$2:$D$114),SUMIF(INGREDIENTI!$B$2:$B$114,H69,INGREDIENTI!$D$2:$D$114),SUMIF(INGREDIENTI!$B$2:$B$114,I69,INGREDIENTI!$D$2:$D$114),SUMIF(INGREDIENTI!$B$2:$B$114,J69,INGREDIENTI!$D$2:$D$114),SUMIF(INGREDIENTI!$B$2:$B$114,K69,INGREDIENTI!$D$2:$D$114),SUMIF(INGREDIENTI!$B$2:$B$114,L69,INGREDIENTI!$D$2:$D$114))</f>
        <v>0</v>
      </c>
      <c r="C69" s="22" t="s">
        <v>30</v>
      </c>
      <c r="D69" s="23" t="s">
        <v>241</v>
      </c>
      <c r="E69" s="24" t="s">
        <v>24</v>
      </c>
      <c r="F69" s="24" t="s">
        <v>28</v>
      </c>
      <c r="G69" s="24" t="s">
        <v>141</v>
      </c>
      <c r="H69" s="24" t="s">
        <v>117</v>
      </c>
      <c r="I69" s="24" t="s">
        <v>53</v>
      </c>
      <c r="J69" s="24" t="s">
        <v>55</v>
      </c>
      <c r="K69" s="24" t="s">
        <v>28</v>
      </c>
      <c r="L69" s="24" t="s">
        <v>28</v>
      </c>
      <c r="M69" s="26" t="str">
        <f t="shared" si="1"/>
        <v/>
      </c>
      <c r="N69" s="36"/>
      <c r="O69" s="28">
        <f>SUMIF( 'TOTALI PIZZE'!A:A,D69,'TOTALI PIZZE'!B:B)</f>
        <v>0</v>
      </c>
      <c r="P69" s="29"/>
      <c r="Q69" s="30" t="str">
        <f>if(SUMIF(  'TOTALI PIZZE'!A:A,D69,'TOTALI PIZZE'!B:B)=0,"NEW","")</f>
        <v>NEW</v>
      </c>
    </row>
    <row r="70" ht="15.75" customHeight="1">
      <c r="A70" s="38"/>
      <c r="B70" s="21">
        <f>MIN(SUMIF(INGREDIENTI!$B$2:$B$114,E70,INGREDIENTI!$D$2:$D$114),SUMIF(INGREDIENTI!$B$2:$B$114,F70,INGREDIENTI!$D$2:$D$114),SUMIF(INGREDIENTI!$B$2:$B$114,G70,INGREDIENTI!$D$2:$D$114),SUMIF(INGREDIENTI!$B$2:$B$114,H70,INGREDIENTI!$D$2:$D$114),SUMIF(INGREDIENTI!$B$2:$B$114,I70,INGREDIENTI!$D$2:$D$114),SUMIF(INGREDIENTI!$B$2:$B$114,J70,INGREDIENTI!$D$2:$D$114),SUMIF(INGREDIENTI!$B$2:$B$114,K70,INGREDIENTI!$D$2:$D$114),SUMIF(INGREDIENTI!$B$2:$B$114,L70,INGREDIENTI!$D$2:$D$114))</f>
        <v>0</v>
      </c>
      <c r="C70" s="22" t="s">
        <v>30</v>
      </c>
      <c r="D70" s="23" t="s">
        <v>242</v>
      </c>
      <c r="E70" s="24" t="s">
        <v>28</v>
      </c>
      <c r="F70" s="24" t="s">
        <v>28</v>
      </c>
      <c r="G70" s="24" t="s">
        <v>40</v>
      </c>
      <c r="H70" s="24" t="s">
        <v>182</v>
      </c>
      <c r="I70" s="24" t="s">
        <v>243</v>
      </c>
      <c r="J70" s="24" t="s">
        <v>87</v>
      </c>
      <c r="K70" s="24" t="s">
        <v>244</v>
      </c>
      <c r="L70" s="24" t="s">
        <v>28</v>
      </c>
      <c r="M70" s="26" t="str">
        <f t="shared" si="1"/>
        <v/>
      </c>
      <c r="N70" s="36"/>
      <c r="O70" s="28">
        <f>SUMIF( 'TOTALI PIZZE'!A:A,D70,'TOTALI PIZZE'!B:B)</f>
        <v>0</v>
      </c>
      <c r="P70" s="29"/>
      <c r="Q70" s="30" t="str">
        <f>if(SUMIF(  'TOTALI PIZZE'!A:A,D70,'TOTALI PIZZE'!B:B)=0,"NEW","")</f>
        <v>NEW</v>
      </c>
    </row>
    <row r="71" ht="15.75" customHeight="1">
      <c r="A71" s="20"/>
      <c r="B71" s="21">
        <f>MIN(SUMIF(INGREDIENTI!$B$2:$B$114,E71,INGREDIENTI!$D$2:$D$114),SUMIF(INGREDIENTI!$B$2:$B$114,F71,INGREDIENTI!$D$2:$D$114),SUMIF(INGREDIENTI!$B$2:$B$114,G71,INGREDIENTI!$D$2:$D$114),SUMIF(INGREDIENTI!$B$2:$B$114,H71,INGREDIENTI!$D$2:$D$114),SUMIF(INGREDIENTI!$B$2:$B$114,I71,INGREDIENTI!$D$2:$D$114),SUMIF(INGREDIENTI!$B$2:$B$114,J71,INGREDIENTI!$D$2:$D$114),SUMIF(INGREDIENTI!$B$2:$B$114,K71,INGREDIENTI!$D$2:$D$114),SUMIF(INGREDIENTI!$B$2:$B$114,L71,INGREDIENTI!$D$2:$D$114))</f>
        <v>0</v>
      </c>
      <c r="C71" s="22" t="s">
        <v>30</v>
      </c>
      <c r="D71" s="23" t="s">
        <v>245</v>
      </c>
      <c r="E71" s="24" t="s">
        <v>28</v>
      </c>
      <c r="F71" s="25" t="s">
        <v>25</v>
      </c>
      <c r="G71" s="24" t="s">
        <v>39</v>
      </c>
      <c r="H71" s="24" t="s">
        <v>26</v>
      </c>
      <c r="I71" s="24" t="s">
        <v>36</v>
      </c>
      <c r="J71" s="24" t="s">
        <v>28</v>
      </c>
      <c r="K71" s="24" t="s">
        <v>28</v>
      </c>
      <c r="L71" s="24" t="s">
        <v>28</v>
      </c>
      <c r="M71" s="26" t="str">
        <f t="shared" si="1"/>
        <v/>
      </c>
      <c r="N71" s="36"/>
      <c r="O71" s="28">
        <f>SUMIF( 'TOTALI PIZZE'!A:A,D71,'TOTALI PIZZE'!B:B)</f>
        <v>0</v>
      </c>
      <c r="P71" s="29"/>
      <c r="Q71" s="30" t="str">
        <f>if(SUMIF(  'TOTALI PIZZE'!A:A,D71,'TOTALI PIZZE'!B:B)=0,"NEW","")</f>
        <v>NEW</v>
      </c>
    </row>
    <row r="72" ht="15.75" customHeight="1">
      <c r="A72" s="38"/>
      <c r="B72" s="21">
        <f>MIN(SUMIF(INGREDIENTI!$B$2:$B$114,E72,INGREDIENTI!$D$2:$D$114),SUMIF(INGREDIENTI!$B$2:$B$114,F72,INGREDIENTI!$D$2:$D$114),SUMIF(INGREDIENTI!$B$2:$B$114,G72,INGREDIENTI!$D$2:$D$114),SUMIF(INGREDIENTI!$B$2:$B$114,H72,INGREDIENTI!$D$2:$D$114),SUMIF(INGREDIENTI!$B$2:$B$114,I72,INGREDIENTI!$D$2:$D$114),SUMIF(INGREDIENTI!$B$2:$B$114,J72,INGREDIENTI!$D$2:$D$114),SUMIF(INGREDIENTI!$B$2:$B$114,K72,INGREDIENTI!$D$2:$D$114),SUMIF(INGREDIENTI!$B$2:$B$114,L72,INGREDIENTI!$D$2:$D$114))</f>
        <v>0</v>
      </c>
      <c r="C72" s="22" t="s">
        <v>30</v>
      </c>
      <c r="D72" s="23" t="s">
        <v>246</v>
      </c>
      <c r="E72" s="24" t="s">
        <v>24</v>
      </c>
      <c r="F72" s="25" t="s">
        <v>25</v>
      </c>
      <c r="G72" s="24" t="s">
        <v>247</v>
      </c>
      <c r="H72" s="24" t="s">
        <v>248</v>
      </c>
      <c r="I72" s="24" t="s">
        <v>249</v>
      </c>
      <c r="J72" s="24" t="s">
        <v>28</v>
      </c>
      <c r="K72" s="24" t="s">
        <v>28</v>
      </c>
      <c r="L72" s="24" t="s">
        <v>28</v>
      </c>
      <c r="M72" s="26" t="str">
        <f t="shared" si="1"/>
        <v/>
      </c>
      <c r="N72" s="36"/>
      <c r="O72" s="28">
        <f>SUMIF( 'TOTALI PIZZE'!A:A,D72,'TOTALI PIZZE'!B:B)</f>
        <v>0</v>
      </c>
      <c r="P72" s="29"/>
      <c r="Q72" s="30" t="str">
        <f>if(SUMIF(  'TOTALI PIZZE'!A:A,D72,'TOTALI PIZZE'!B:B)=0,"NEW","")</f>
        <v>NEW</v>
      </c>
      <c r="R72" s="37"/>
      <c r="T72" s="37"/>
      <c r="U72" s="37"/>
      <c r="V72" s="37"/>
      <c r="W72" s="37"/>
      <c r="X72" s="37"/>
      <c r="Y72" s="37"/>
      <c r="Z72" s="37"/>
      <c r="AA72" s="37"/>
      <c r="AB72" s="37"/>
    </row>
    <row r="73" ht="15.75" customHeight="1">
      <c r="A73" s="20"/>
      <c r="B73" s="21">
        <f>MIN(SUMIF(INGREDIENTI!$B$2:$B$114,E73,INGREDIENTI!$D$2:$D$114),SUMIF(INGREDIENTI!$B$2:$B$114,F73,INGREDIENTI!$D$2:$D$114),SUMIF(INGREDIENTI!$B$2:$B$114,G73,INGREDIENTI!$D$2:$D$114),SUMIF(INGREDIENTI!$B$2:$B$114,H73,INGREDIENTI!$D$2:$D$114),SUMIF(INGREDIENTI!$B$2:$B$114,I73,INGREDIENTI!$D$2:$D$114),SUMIF(INGREDIENTI!$B$2:$B$114,J73,INGREDIENTI!$D$2:$D$114),SUMIF(INGREDIENTI!$B$2:$B$114,K73,INGREDIENTI!$D$2:$D$114),SUMIF(INGREDIENTI!$B$2:$B$114,L73,INGREDIENTI!$D$2:$D$114))</f>
        <v>0</v>
      </c>
      <c r="C73" s="22" t="s">
        <v>30</v>
      </c>
      <c r="D73" s="23" t="s">
        <v>250</v>
      </c>
      <c r="E73" s="24" t="s">
        <v>24</v>
      </c>
      <c r="F73" s="25" t="s">
        <v>25</v>
      </c>
      <c r="G73" s="24" t="s">
        <v>247</v>
      </c>
      <c r="H73" s="24" t="s">
        <v>248</v>
      </c>
      <c r="I73" s="24" t="s">
        <v>28</v>
      </c>
      <c r="J73" s="24" t="s">
        <v>28</v>
      </c>
      <c r="K73" s="24" t="s">
        <v>28</v>
      </c>
      <c r="L73" s="24" t="s">
        <v>28</v>
      </c>
      <c r="M73" s="26" t="str">
        <f t="shared" si="1"/>
        <v/>
      </c>
      <c r="N73" s="27"/>
      <c r="O73" s="28">
        <f>SUMIF( 'TOTALI PIZZE'!A:A,D73,'TOTALI PIZZE'!B:B)</f>
        <v>0</v>
      </c>
      <c r="P73" s="29"/>
      <c r="Q73" s="30" t="str">
        <f>if(SUMIF(  'TOTALI PIZZE'!A:A,D73,'TOTALI PIZZE'!B:B)=0,"NEW","")</f>
        <v>NEW</v>
      </c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</row>
    <row r="74" ht="15.75" customHeight="1">
      <c r="A74" s="38"/>
      <c r="B74" s="21">
        <f>MIN(SUMIF(INGREDIENTI!$B$2:$B$114,E74,INGREDIENTI!$D$2:$D$114),SUMIF(INGREDIENTI!$B$2:$B$114,F74,INGREDIENTI!$D$2:$D$114),SUMIF(INGREDIENTI!$B$2:$B$114,G74,INGREDIENTI!$D$2:$D$114),SUMIF(INGREDIENTI!$B$2:$B$114,H74,INGREDIENTI!$D$2:$D$114),SUMIF(INGREDIENTI!$B$2:$B$114,I74,INGREDIENTI!$D$2:$D$114),SUMIF(INGREDIENTI!$B$2:$B$114,J74,INGREDIENTI!$D$2:$D$114),SUMIF(INGREDIENTI!$B$2:$B$114,K74,INGREDIENTI!$D$2:$D$114),SUMIF(INGREDIENTI!$B$2:$B$114,L74,INGREDIENTI!$D$2:$D$114))</f>
        <v>0</v>
      </c>
      <c r="C74" s="22" t="s">
        <v>30</v>
      </c>
      <c r="D74" s="23" t="s">
        <v>251</v>
      </c>
      <c r="E74" s="24" t="s">
        <v>28</v>
      </c>
      <c r="F74" s="25" t="s">
        <v>25</v>
      </c>
      <c r="G74" s="24" t="s">
        <v>252</v>
      </c>
      <c r="H74" s="24" t="s">
        <v>111</v>
      </c>
      <c r="I74" s="24" t="s">
        <v>253</v>
      </c>
      <c r="J74" s="24" t="s">
        <v>28</v>
      </c>
      <c r="K74" s="24" t="s">
        <v>28</v>
      </c>
      <c r="L74" s="24" t="s">
        <v>28</v>
      </c>
      <c r="M74" s="26" t="str">
        <f t="shared" si="1"/>
        <v/>
      </c>
      <c r="N74" s="36"/>
      <c r="O74" s="28">
        <f>SUMIF( 'TOTALI PIZZE'!A:A,D74,'TOTALI PIZZE'!B:B)</f>
        <v>0</v>
      </c>
      <c r="P74" s="29"/>
      <c r="Q74" s="30" t="str">
        <f>if(SUMIF(  'TOTALI PIZZE'!A:A,D74,'TOTALI PIZZE'!B:B)=0,"NEW","")</f>
        <v>NEW</v>
      </c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</row>
    <row r="75" ht="15.75" customHeight="1">
      <c r="A75" s="38"/>
      <c r="B75" s="21">
        <f>MIN(SUMIF(INGREDIENTI!$B$2:$B$114,E75,INGREDIENTI!$D$2:$D$114),SUMIF(INGREDIENTI!$B$2:$B$114,F75,INGREDIENTI!$D$2:$D$114),SUMIF(INGREDIENTI!$B$2:$B$114,G75,INGREDIENTI!$D$2:$D$114),SUMIF(INGREDIENTI!$B$2:$B$114,H75,INGREDIENTI!$D$2:$D$114),SUMIF(INGREDIENTI!$B$2:$B$114,I75,INGREDIENTI!$D$2:$D$114),SUMIF(INGREDIENTI!$B$2:$B$114,J75,INGREDIENTI!$D$2:$D$114),SUMIF(INGREDIENTI!$B$2:$B$114,K75,INGREDIENTI!$D$2:$D$114),SUMIF(INGREDIENTI!$B$2:$B$114,L75,INGREDIENTI!$D$2:$D$114))</f>
        <v>0</v>
      </c>
      <c r="C75" s="22" t="s">
        <v>30</v>
      </c>
      <c r="D75" s="23" t="s">
        <v>254</v>
      </c>
      <c r="E75" s="24" t="s">
        <v>28</v>
      </c>
      <c r="F75" s="25" t="s">
        <v>25</v>
      </c>
      <c r="G75" s="24" t="s">
        <v>255</v>
      </c>
      <c r="H75" s="24" t="s">
        <v>111</v>
      </c>
      <c r="I75" s="24" t="s">
        <v>34</v>
      </c>
      <c r="J75" s="24" t="s">
        <v>28</v>
      </c>
      <c r="K75" s="24" t="s">
        <v>28</v>
      </c>
      <c r="L75" s="24" t="s">
        <v>28</v>
      </c>
      <c r="M75" s="26" t="str">
        <f t="shared" si="1"/>
        <v/>
      </c>
      <c r="N75" s="36"/>
      <c r="O75" s="28">
        <f>SUMIF( 'TOTALI PIZZE'!A:A,D75,'TOTALI PIZZE'!B:B)</f>
        <v>0</v>
      </c>
      <c r="P75" s="29"/>
      <c r="Q75" s="30" t="str">
        <f>if(SUMIF(  'TOTALI PIZZE'!A:A,D75,'TOTALI PIZZE'!B:B)=0,"NEW","")</f>
        <v>NEW</v>
      </c>
      <c r="S75" s="37"/>
    </row>
    <row r="76" ht="15.75" customHeight="1">
      <c r="A76" s="38"/>
      <c r="B76" s="21">
        <f>MIN(SUMIF(INGREDIENTI!$B$2:$B$114,E76,INGREDIENTI!$D$2:$D$114),SUMIF(INGREDIENTI!$B$2:$B$114,F76,INGREDIENTI!$D$2:$D$114),SUMIF(INGREDIENTI!$B$2:$B$114,G76,INGREDIENTI!$D$2:$D$114),SUMIF(INGREDIENTI!$B$2:$B$114,H76,INGREDIENTI!$D$2:$D$114),SUMIF(INGREDIENTI!$B$2:$B$114,I76,INGREDIENTI!$D$2:$D$114),SUMIF(INGREDIENTI!$B$2:$B$114,J76,INGREDIENTI!$D$2:$D$114),SUMIF(INGREDIENTI!$B$2:$B$114,K76,INGREDIENTI!$D$2:$D$114),SUMIF(INGREDIENTI!$B$2:$B$114,L76,INGREDIENTI!$D$2:$D$114))</f>
        <v>0</v>
      </c>
      <c r="C76" s="22" t="s">
        <v>30</v>
      </c>
      <c r="D76" s="23" t="s">
        <v>256</v>
      </c>
      <c r="E76" s="24" t="s">
        <v>24</v>
      </c>
      <c r="F76" s="25" t="s">
        <v>25</v>
      </c>
      <c r="G76" s="24" t="s">
        <v>233</v>
      </c>
      <c r="H76" s="24" t="s">
        <v>164</v>
      </c>
      <c r="I76" s="24" t="s">
        <v>28</v>
      </c>
      <c r="J76" s="24" t="s">
        <v>28</v>
      </c>
      <c r="K76" s="24" t="s">
        <v>28</v>
      </c>
      <c r="L76" s="24" t="s">
        <v>28</v>
      </c>
      <c r="M76" s="26" t="str">
        <f t="shared" si="1"/>
        <v/>
      </c>
      <c r="N76" s="36"/>
      <c r="O76" s="28">
        <f>SUMIF( 'TOTALI PIZZE'!A:A,D76,'TOTALI PIZZE'!B:B)</f>
        <v>0</v>
      </c>
      <c r="P76" s="29"/>
      <c r="Q76" s="30" t="str">
        <f>if(SUMIF(  'TOTALI PIZZE'!A:A,D76,'TOTALI PIZZE'!B:B)=0,"NEW","")</f>
        <v>NEW</v>
      </c>
    </row>
    <row r="77" ht="15.75" customHeight="1">
      <c r="A77" s="38"/>
      <c r="B77" s="21">
        <f>MIN(SUMIF(INGREDIENTI!$B$2:$B$114,E77,INGREDIENTI!$D$2:$D$114),SUMIF(INGREDIENTI!$B$2:$B$114,F77,INGREDIENTI!$D$2:$D$114),SUMIF(INGREDIENTI!$B$2:$B$114,G77,INGREDIENTI!$D$2:$D$114),SUMIF(INGREDIENTI!$B$2:$B$114,H77,INGREDIENTI!$D$2:$D$114),SUMIF(INGREDIENTI!$B$2:$B$114,I77,INGREDIENTI!$D$2:$D$114),SUMIF(INGREDIENTI!$B$2:$B$114,J77,INGREDIENTI!$D$2:$D$114),SUMIF(INGREDIENTI!$B$2:$B$114,K77,INGREDIENTI!$D$2:$D$114),SUMIF(INGREDIENTI!$B$2:$B$114,L77,INGREDIENTI!$D$2:$D$114))</f>
        <v>0</v>
      </c>
      <c r="C77" s="22" t="s">
        <v>30</v>
      </c>
      <c r="D77" s="23" t="s">
        <v>257</v>
      </c>
      <c r="E77" s="24" t="s">
        <v>24</v>
      </c>
      <c r="F77" s="25" t="s">
        <v>25</v>
      </c>
      <c r="G77" s="24" t="s">
        <v>258</v>
      </c>
      <c r="H77" s="24" t="s">
        <v>239</v>
      </c>
      <c r="I77" s="24" t="s">
        <v>248</v>
      </c>
      <c r="J77" s="24" t="s">
        <v>26</v>
      </c>
      <c r="K77" s="24" t="s">
        <v>28</v>
      </c>
      <c r="L77" s="24" t="s">
        <v>28</v>
      </c>
      <c r="M77" s="26" t="str">
        <f t="shared" si="1"/>
        <v/>
      </c>
      <c r="N77" s="36"/>
      <c r="O77" s="28">
        <f>SUMIF( 'TOTALI PIZZE'!A:A,D77,'TOTALI PIZZE'!B:B)</f>
        <v>0</v>
      </c>
      <c r="P77" s="29"/>
      <c r="Q77" s="30" t="str">
        <f>if(SUMIF(  'TOTALI PIZZE'!A:A,D77,'TOTALI PIZZE'!B:B)=0,"NEW","")</f>
        <v>NEW</v>
      </c>
    </row>
    <row r="78" ht="15.75" customHeight="1">
      <c r="A78" s="38"/>
      <c r="B78" s="21">
        <f>MIN(SUMIF(INGREDIENTI!$B$2:$B$114,E78,INGREDIENTI!$D$2:$D$114),SUMIF(INGREDIENTI!$B$2:$B$114,F78,INGREDIENTI!$D$2:$D$114),SUMIF(INGREDIENTI!$B$2:$B$114,G78,INGREDIENTI!$D$2:$D$114),SUMIF(INGREDIENTI!$B$2:$B$114,H78,INGREDIENTI!$D$2:$D$114),SUMIF(INGREDIENTI!$B$2:$B$114,I78,INGREDIENTI!$D$2:$D$114),SUMIF(INGREDIENTI!$B$2:$B$114,J78,INGREDIENTI!$D$2:$D$114),SUMIF(INGREDIENTI!$B$2:$B$114,K78,INGREDIENTI!$D$2:$D$114),SUMIF(INGREDIENTI!$B$2:$B$114,L78,INGREDIENTI!$D$2:$D$114))</f>
        <v>0</v>
      </c>
      <c r="C78" s="22" t="s">
        <v>30</v>
      </c>
      <c r="D78" s="23" t="s">
        <v>259</v>
      </c>
      <c r="E78" s="24" t="s">
        <v>24</v>
      </c>
      <c r="F78" s="24" t="s">
        <v>28</v>
      </c>
      <c r="G78" s="24" t="s">
        <v>252</v>
      </c>
      <c r="H78" s="24" t="s">
        <v>233</v>
      </c>
      <c r="I78" s="24" t="s">
        <v>48</v>
      </c>
      <c r="J78" s="24" t="s">
        <v>260</v>
      </c>
      <c r="K78" s="24" t="s">
        <v>28</v>
      </c>
      <c r="L78" s="24" t="s">
        <v>28</v>
      </c>
      <c r="M78" s="26" t="str">
        <f t="shared" si="1"/>
        <v/>
      </c>
      <c r="N78" s="36"/>
      <c r="O78" s="28">
        <f>SUMIF( 'TOTALI PIZZE'!A:A,D78,'TOTALI PIZZE'!B:B)</f>
        <v>0</v>
      </c>
      <c r="P78" s="29"/>
      <c r="Q78" s="30" t="str">
        <f>if(SUMIF(  'TOTALI PIZZE'!A:A,D78,'TOTALI PIZZE'!B:B)=0,"NEW","")</f>
        <v>NEW</v>
      </c>
    </row>
    <row r="79" ht="15.75" customHeight="1">
      <c r="A79" s="38"/>
      <c r="B79" s="21">
        <f>MIN(SUMIF(INGREDIENTI!$B$2:$B$114,E79,INGREDIENTI!$D$2:$D$114),SUMIF(INGREDIENTI!$B$2:$B$114,F79,INGREDIENTI!$D$2:$D$114),SUMIF(INGREDIENTI!$B$2:$B$114,G79,INGREDIENTI!$D$2:$D$114),SUMIF(INGREDIENTI!$B$2:$B$114,H79,INGREDIENTI!$D$2:$D$114),SUMIF(INGREDIENTI!$B$2:$B$114,I79,INGREDIENTI!$D$2:$D$114),SUMIF(INGREDIENTI!$B$2:$B$114,J79,INGREDIENTI!$D$2:$D$114),SUMIF(INGREDIENTI!$B$2:$B$114,K79,INGREDIENTI!$D$2:$D$114),SUMIF(INGREDIENTI!$B$2:$B$114,L79,INGREDIENTI!$D$2:$D$114))</f>
        <v>0</v>
      </c>
      <c r="C79" s="22" t="s">
        <v>30</v>
      </c>
      <c r="D79" s="23" t="s">
        <v>261</v>
      </c>
      <c r="E79" s="24" t="s">
        <v>24</v>
      </c>
      <c r="F79" s="24" t="s">
        <v>28</v>
      </c>
      <c r="G79" s="24" t="s">
        <v>201</v>
      </c>
      <c r="H79" s="24" t="s">
        <v>33</v>
      </c>
      <c r="I79" s="24" t="s">
        <v>34</v>
      </c>
      <c r="J79" s="24" t="s">
        <v>35</v>
      </c>
      <c r="K79" s="24" t="s">
        <v>28</v>
      </c>
      <c r="L79" s="24" t="s">
        <v>28</v>
      </c>
      <c r="M79" s="26" t="str">
        <f t="shared" si="1"/>
        <v/>
      </c>
      <c r="N79" s="36"/>
      <c r="O79" s="28">
        <f>SUMIF( 'TOTALI PIZZE'!A:A,D79,'TOTALI PIZZE'!B:B)</f>
        <v>0</v>
      </c>
      <c r="P79" s="29"/>
      <c r="Q79" s="30" t="str">
        <f>if(SUMIF(  'TOTALI PIZZE'!A:A,D79,'TOTALI PIZZE'!B:B)=0,"NEW","")</f>
        <v>NEW</v>
      </c>
    </row>
    <row r="80" ht="15.75" customHeight="1">
      <c r="A80" s="38"/>
      <c r="B80" s="21">
        <f>MIN(SUMIF(INGREDIENTI!$B$2:$B$114,E80,INGREDIENTI!$D$2:$D$114),SUMIF(INGREDIENTI!$B$2:$B$114,F80,INGREDIENTI!$D$2:$D$114),SUMIF(INGREDIENTI!$B$2:$B$114,G80,INGREDIENTI!$D$2:$D$114),SUMIF(INGREDIENTI!$B$2:$B$114,H80,INGREDIENTI!$D$2:$D$114),SUMIF(INGREDIENTI!$B$2:$B$114,I80,INGREDIENTI!$D$2:$D$114),SUMIF(INGREDIENTI!$B$2:$B$114,J80,INGREDIENTI!$D$2:$D$114),SUMIF(INGREDIENTI!$B$2:$B$114,K80,INGREDIENTI!$D$2:$D$114),SUMIF(INGREDIENTI!$B$2:$B$114,L80,INGREDIENTI!$D$2:$D$114))</f>
        <v>0</v>
      </c>
      <c r="C80" s="22" t="s">
        <v>30</v>
      </c>
      <c r="D80" s="23" t="s">
        <v>262</v>
      </c>
      <c r="E80" s="24" t="s">
        <v>24</v>
      </c>
      <c r="F80" s="24" t="s">
        <v>28</v>
      </c>
      <c r="G80" s="24" t="s">
        <v>117</v>
      </c>
      <c r="H80" s="24" t="s">
        <v>67</v>
      </c>
      <c r="I80" s="24" t="s">
        <v>263</v>
      </c>
      <c r="J80" s="24" t="s">
        <v>28</v>
      </c>
      <c r="K80" s="24" t="s">
        <v>28</v>
      </c>
      <c r="L80" s="24" t="s">
        <v>28</v>
      </c>
      <c r="M80" s="26" t="str">
        <f t="shared" si="1"/>
        <v/>
      </c>
      <c r="N80" s="36"/>
      <c r="O80" s="28">
        <f>SUMIF( 'TOTALI PIZZE'!A:A,D80,'TOTALI PIZZE'!B:B)</f>
        <v>0</v>
      </c>
      <c r="P80" s="29"/>
      <c r="Q80" s="30" t="str">
        <f>if(SUMIF(  'TOTALI PIZZE'!A:A,D80,'TOTALI PIZZE'!B:B)=0,"NEW","")</f>
        <v>NEW</v>
      </c>
      <c r="R80" s="37"/>
      <c r="T80" s="37"/>
      <c r="U80" s="37"/>
      <c r="V80" s="37"/>
      <c r="W80" s="37"/>
      <c r="X80" s="37"/>
      <c r="Y80" s="37"/>
      <c r="Z80" s="37"/>
      <c r="AA80" s="37"/>
      <c r="AB80" s="37"/>
    </row>
    <row r="81" ht="15.75" customHeight="1">
      <c r="A81" s="38"/>
      <c r="B81" s="21">
        <f>MIN(SUMIF(INGREDIENTI!$B$2:$B$114,E81,INGREDIENTI!$D$2:$D$114),SUMIF(INGREDIENTI!$B$2:$B$114,F81,INGREDIENTI!$D$2:$D$114),SUMIF(INGREDIENTI!$B$2:$B$114,G81,INGREDIENTI!$D$2:$D$114),SUMIF(INGREDIENTI!$B$2:$B$114,H81,INGREDIENTI!$D$2:$D$114),SUMIF(INGREDIENTI!$B$2:$B$114,I81,INGREDIENTI!$D$2:$D$114),SUMIF(INGREDIENTI!$B$2:$B$114,J81,INGREDIENTI!$D$2:$D$114),SUMIF(INGREDIENTI!$B$2:$B$114,K81,INGREDIENTI!$D$2:$D$114),SUMIF(INGREDIENTI!$B$2:$B$114,L81,INGREDIENTI!$D$2:$D$114))</f>
        <v>0</v>
      </c>
      <c r="C81" s="22" t="s">
        <v>30</v>
      </c>
      <c r="D81" s="23" t="s">
        <v>264</v>
      </c>
      <c r="E81" s="24" t="s">
        <v>28</v>
      </c>
      <c r="F81" s="25" t="s">
        <v>25</v>
      </c>
      <c r="G81" s="24" t="s">
        <v>117</v>
      </c>
      <c r="H81" s="24" t="s">
        <v>53</v>
      </c>
      <c r="I81" s="24" t="s">
        <v>201</v>
      </c>
      <c r="J81" s="24" t="s">
        <v>202</v>
      </c>
      <c r="K81" s="24" t="s">
        <v>28</v>
      </c>
      <c r="L81" s="24" t="s">
        <v>28</v>
      </c>
      <c r="M81" s="26" t="str">
        <f t="shared" si="1"/>
        <v/>
      </c>
      <c r="N81" s="36"/>
      <c r="O81" s="28">
        <f>SUMIF( 'TOTALI PIZZE'!A:A,D81,'TOTALI PIZZE'!B:B)</f>
        <v>0</v>
      </c>
      <c r="P81" s="29"/>
      <c r="Q81" s="30" t="str">
        <f>if(SUMIF(  'TOTALI PIZZE'!A:A,D81,'TOTALI PIZZE'!B:B)=0,"NEW","")</f>
        <v>NEW</v>
      </c>
      <c r="S81" s="37"/>
    </row>
    <row r="82" ht="15.75" customHeight="1">
      <c r="A82" s="38"/>
      <c r="B82" s="21">
        <f>MIN(SUMIF(INGREDIENTI!$B$2:$B$114,E82,INGREDIENTI!$D$2:$D$114),SUMIF(INGREDIENTI!$B$2:$B$114,F82,INGREDIENTI!$D$2:$D$114),SUMIF(INGREDIENTI!$B$2:$B$114,G82,INGREDIENTI!$D$2:$D$114),SUMIF(INGREDIENTI!$B$2:$B$114,H82,INGREDIENTI!$D$2:$D$114),SUMIF(INGREDIENTI!$B$2:$B$114,I82,INGREDIENTI!$D$2:$D$114),SUMIF(INGREDIENTI!$B$2:$B$114,J82,INGREDIENTI!$D$2:$D$114),SUMIF(INGREDIENTI!$B$2:$B$114,K82,INGREDIENTI!$D$2:$D$114),SUMIF(INGREDIENTI!$B$2:$B$114,L82,INGREDIENTI!$D$2:$D$114))</f>
        <v>0</v>
      </c>
      <c r="C82" s="22" t="s">
        <v>30</v>
      </c>
      <c r="D82" s="33" t="s">
        <v>265</v>
      </c>
      <c r="E82" s="25" t="s">
        <v>24</v>
      </c>
      <c r="F82" s="25" t="s">
        <v>28</v>
      </c>
      <c r="G82" s="25" t="s">
        <v>266</v>
      </c>
      <c r="H82" s="25" t="s">
        <v>258</v>
      </c>
      <c r="I82" s="25" t="s">
        <v>48</v>
      </c>
      <c r="J82" s="25" t="s">
        <v>53</v>
      </c>
      <c r="K82" s="25" t="s">
        <v>28</v>
      </c>
      <c r="L82" s="25" t="s">
        <v>28</v>
      </c>
      <c r="M82" s="26" t="str">
        <f t="shared" si="1"/>
        <v/>
      </c>
      <c r="N82" s="36"/>
      <c r="O82" s="28">
        <f>SUMIF( 'TOTALI PIZZE'!A:A,D82,'TOTALI PIZZE'!B:B)</f>
        <v>0</v>
      </c>
      <c r="P82" s="29"/>
      <c r="Q82" s="30" t="str">
        <f>if(SUMIF(  'TOTALI PIZZE'!A:A,D82,'TOTALI PIZZE'!B:B)=0,"NEW","")</f>
        <v>NEW</v>
      </c>
    </row>
    <row r="83" ht="15.75" customHeight="1">
      <c r="A83" s="38"/>
      <c r="B83" s="21">
        <f>MIN(SUMIF(INGREDIENTI!$B$2:$B$114,E83,INGREDIENTI!$D$2:$D$114),SUMIF(INGREDIENTI!$B$2:$B$114,F83,INGREDIENTI!$D$2:$D$114),SUMIF(INGREDIENTI!$B$2:$B$114,G83,INGREDIENTI!$D$2:$D$114),SUMIF(INGREDIENTI!$B$2:$B$114,H83,INGREDIENTI!$D$2:$D$114),SUMIF(INGREDIENTI!$B$2:$B$114,I83,INGREDIENTI!$D$2:$D$114),SUMIF(INGREDIENTI!$B$2:$B$114,J83,INGREDIENTI!$D$2:$D$114),SUMIF(INGREDIENTI!$B$2:$B$114,K83,INGREDIENTI!$D$2:$D$114),SUMIF(INGREDIENTI!$B$2:$B$114,L83,INGREDIENTI!$D$2:$D$114))</f>
        <v>0</v>
      </c>
      <c r="C83" s="22" t="s">
        <v>30</v>
      </c>
      <c r="D83" s="23" t="s">
        <v>267</v>
      </c>
      <c r="E83" s="24" t="s">
        <v>28</v>
      </c>
      <c r="F83" s="25" t="s">
        <v>25</v>
      </c>
      <c r="G83" s="24" t="s">
        <v>40</v>
      </c>
      <c r="H83" s="24" t="s">
        <v>239</v>
      </c>
      <c r="I83" s="24" t="s">
        <v>202</v>
      </c>
      <c r="J83" s="24" t="s">
        <v>28</v>
      </c>
      <c r="K83" s="24" t="s">
        <v>28</v>
      </c>
      <c r="L83" s="24" t="s">
        <v>28</v>
      </c>
      <c r="M83" s="26" t="str">
        <f t="shared" si="1"/>
        <v/>
      </c>
      <c r="N83" s="36"/>
      <c r="O83" s="28">
        <f>SUMIF( 'TOTALI PIZZE'!A:A,D83,'TOTALI PIZZE'!B:B)</f>
        <v>0</v>
      </c>
      <c r="P83" s="29"/>
      <c r="Q83" s="30" t="str">
        <f>if(SUMIF(  'TOTALI PIZZE'!A:A,D83,'TOTALI PIZZE'!B:B)=0,"NEW","")</f>
        <v>NEW</v>
      </c>
    </row>
    <row r="84" ht="15.75" customHeight="1">
      <c r="A84" s="38"/>
      <c r="B84" s="21">
        <f>MIN(SUMIF(INGREDIENTI!$B$2:$B$114,E84,INGREDIENTI!$D$2:$D$114),SUMIF(INGREDIENTI!$B$2:$B$114,F84,INGREDIENTI!$D$2:$D$114),SUMIF(INGREDIENTI!$B$2:$B$114,G84,INGREDIENTI!$D$2:$D$114),SUMIF(INGREDIENTI!$B$2:$B$114,H84,INGREDIENTI!$D$2:$D$114),SUMIF(INGREDIENTI!$B$2:$B$114,I84,INGREDIENTI!$D$2:$D$114),SUMIF(INGREDIENTI!$B$2:$B$114,J84,INGREDIENTI!$D$2:$D$114),SUMIF(INGREDIENTI!$B$2:$B$114,K84,INGREDIENTI!$D$2:$D$114),SUMIF(INGREDIENTI!$B$2:$B$114,L84,INGREDIENTI!$D$2:$D$114))</f>
        <v>0</v>
      </c>
      <c r="C84" s="22" t="s">
        <v>30</v>
      </c>
      <c r="D84" s="23" t="s">
        <v>268</v>
      </c>
      <c r="E84" s="24" t="s">
        <v>24</v>
      </c>
      <c r="F84" s="25" t="s">
        <v>25</v>
      </c>
      <c r="G84" s="24" t="s">
        <v>40</v>
      </c>
      <c r="H84" s="24" t="s">
        <v>239</v>
      </c>
      <c r="I84" s="24" t="s">
        <v>202</v>
      </c>
      <c r="J84" s="24" t="s">
        <v>28</v>
      </c>
      <c r="K84" s="24" t="s">
        <v>28</v>
      </c>
      <c r="L84" s="24" t="s">
        <v>28</v>
      </c>
      <c r="M84" s="26" t="str">
        <f t="shared" si="1"/>
        <v/>
      </c>
      <c r="N84" s="36"/>
      <c r="O84" s="28">
        <f>SUMIF( 'TOTALI PIZZE'!A:A,D84,'TOTALI PIZZE'!B:B)</f>
        <v>0</v>
      </c>
      <c r="P84" s="29"/>
      <c r="Q84" s="30" t="str">
        <f>if(SUMIF(  'TOTALI PIZZE'!A:A,D84,'TOTALI PIZZE'!B:B)=0,"NEW","")</f>
        <v>NEW</v>
      </c>
    </row>
    <row r="85" ht="15.75" customHeight="1">
      <c r="A85" s="38"/>
      <c r="B85" s="21">
        <f>MIN(SUMIF(INGREDIENTI!$B$2:$B$114,E85,INGREDIENTI!$D$2:$D$114),SUMIF(INGREDIENTI!$B$2:$B$114,F85,INGREDIENTI!$D$2:$D$114),SUMIF(INGREDIENTI!$B$2:$B$114,G85,INGREDIENTI!$D$2:$D$114),SUMIF(INGREDIENTI!$B$2:$B$114,H85,INGREDIENTI!$D$2:$D$114),SUMIF(INGREDIENTI!$B$2:$B$114,I85,INGREDIENTI!$D$2:$D$114),SUMIF(INGREDIENTI!$B$2:$B$114,J85,INGREDIENTI!$D$2:$D$114),SUMIF(INGREDIENTI!$B$2:$B$114,K85,INGREDIENTI!$D$2:$D$114),SUMIF(INGREDIENTI!$B$2:$B$114,L85,INGREDIENTI!$D$2:$D$114))</f>
        <v>0</v>
      </c>
      <c r="C85" s="22" t="s">
        <v>30</v>
      </c>
      <c r="D85" s="23" t="s">
        <v>269</v>
      </c>
      <c r="E85" s="24" t="s">
        <v>28</v>
      </c>
      <c r="F85" s="25" t="s">
        <v>25</v>
      </c>
      <c r="G85" s="24" t="s">
        <v>266</v>
      </c>
      <c r="H85" s="24" t="s">
        <v>63</v>
      </c>
      <c r="I85" s="24" t="s">
        <v>53</v>
      </c>
      <c r="J85" s="24" t="s">
        <v>231</v>
      </c>
      <c r="K85" s="24" t="s">
        <v>28</v>
      </c>
      <c r="L85" s="24" t="s">
        <v>28</v>
      </c>
      <c r="M85" s="26" t="str">
        <f t="shared" si="1"/>
        <v/>
      </c>
      <c r="N85" s="36"/>
      <c r="O85" s="28">
        <f>SUMIF( 'TOTALI PIZZE'!A:A,D85,'TOTALI PIZZE'!B:B)</f>
        <v>0</v>
      </c>
      <c r="P85" s="29"/>
      <c r="Q85" s="30" t="str">
        <f>if(SUMIF(  'TOTALI PIZZE'!A:A,D85,'TOTALI PIZZE'!B:B)=0,"NEW","")</f>
        <v>NEW</v>
      </c>
    </row>
    <row r="86" ht="15.75" customHeight="1">
      <c r="A86" s="38"/>
      <c r="B86" s="21">
        <f>MIN(SUMIF(INGREDIENTI!$B$2:$B$114,E86,INGREDIENTI!$D$2:$D$114),SUMIF(INGREDIENTI!$B$2:$B$114,F86,INGREDIENTI!$D$2:$D$114),SUMIF(INGREDIENTI!$B$2:$B$114,G86,INGREDIENTI!$D$2:$D$114),SUMIF(INGREDIENTI!$B$2:$B$114,H86,INGREDIENTI!$D$2:$D$114),SUMIF(INGREDIENTI!$B$2:$B$114,I86,INGREDIENTI!$D$2:$D$114),SUMIF(INGREDIENTI!$B$2:$B$114,J86,INGREDIENTI!$D$2:$D$114),SUMIF(INGREDIENTI!$B$2:$B$114,K86,INGREDIENTI!$D$2:$D$114),SUMIF(INGREDIENTI!$B$2:$B$114,L86,INGREDIENTI!$D$2:$D$114))</f>
        <v>0</v>
      </c>
      <c r="C86" s="22" t="s">
        <v>30</v>
      </c>
      <c r="D86" s="23" t="s">
        <v>270</v>
      </c>
      <c r="E86" s="24" t="s">
        <v>24</v>
      </c>
      <c r="F86" s="25" t="s">
        <v>25</v>
      </c>
      <c r="G86" s="24" t="s">
        <v>26</v>
      </c>
      <c r="H86" s="24" t="s">
        <v>271</v>
      </c>
      <c r="I86" s="24" t="s">
        <v>272</v>
      </c>
      <c r="J86" s="24" t="s">
        <v>27</v>
      </c>
      <c r="K86" s="24" t="s">
        <v>28</v>
      </c>
      <c r="L86" s="24" t="s">
        <v>28</v>
      </c>
      <c r="M86" s="26" t="str">
        <f t="shared" si="1"/>
        <v/>
      </c>
      <c r="N86" s="36"/>
      <c r="O86" s="28">
        <f>SUMIF( 'TOTALI PIZZE'!A:A,D86,'TOTALI PIZZE'!B:B)</f>
        <v>0</v>
      </c>
      <c r="P86" s="29"/>
      <c r="Q86" s="30" t="str">
        <f>if(SUMIF(  'TOTALI PIZZE'!A:A,D86,'TOTALI PIZZE'!B:B)=0,"NEW","")</f>
        <v>NEW</v>
      </c>
    </row>
    <row r="87" ht="15.75" customHeight="1">
      <c r="A87" s="38"/>
      <c r="B87" s="21">
        <f>MIN(SUMIF(INGREDIENTI!$B$2:$B$114,E87,INGREDIENTI!$D$2:$D$114),SUMIF(INGREDIENTI!$B$2:$B$114,F87,INGREDIENTI!$D$2:$D$114),SUMIF(INGREDIENTI!$B$2:$B$114,G87,INGREDIENTI!$D$2:$D$114),SUMIF(INGREDIENTI!$B$2:$B$114,H87,INGREDIENTI!$D$2:$D$114),SUMIF(INGREDIENTI!$B$2:$B$114,I87,INGREDIENTI!$D$2:$D$114),SUMIF(INGREDIENTI!$B$2:$B$114,J87,INGREDIENTI!$D$2:$D$114),SUMIF(INGREDIENTI!$B$2:$B$114,K87,INGREDIENTI!$D$2:$D$114),SUMIF(INGREDIENTI!$B$2:$B$114,L87,INGREDIENTI!$D$2:$D$114))</f>
        <v>0</v>
      </c>
      <c r="C87" s="22" t="s">
        <v>30</v>
      </c>
      <c r="D87" s="23" t="s">
        <v>273</v>
      </c>
      <c r="E87" s="24" t="s">
        <v>24</v>
      </c>
      <c r="F87" s="24" t="s">
        <v>28</v>
      </c>
      <c r="G87" s="24" t="s">
        <v>117</v>
      </c>
      <c r="H87" s="24" t="s">
        <v>271</v>
      </c>
      <c r="I87" s="24" t="s">
        <v>164</v>
      </c>
      <c r="J87" s="24" t="s">
        <v>274</v>
      </c>
      <c r="K87" s="24" t="s">
        <v>27</v>
      </c>
      <c r="L87" s="24" t="s">
        <v>28</v>
      </c>
      <c r="M87" s="26" t="str">
        <f t="shared" si="1"/>
        <v/>
      </c>
      <c r="N87" s="36"/>
      <c r="O87" s="28">
        <f>SUMIF( 'TOTALI PIZZE'!A:A,D87,'TOTALI PIZZE'!B:B)</f>
        <v>0</v>
      </c>
      <c r="P87" s="29"/>
      <c r="Q87" s="30" t="str">
        <f>if(SUMIF(  'TOTALI PIZZE'!A:A,D87,'TOTALI PIZZE'!B:B)=0,"NEW","")</f>
        <v>NEW</v>
      </c>
    </row>
    <row r="88" ht="15.75" customHeight="1">
      <c r="A88" s="38"/>
      <c r="B88" s="21">
        <f>MIN(SUMIF(INGREDIENTI!$B$2:$B$114,E88,INGREDIENTI!$D$2:$D$114),SUMIF(INGREDIENTI!$B$2:$B$114,F88,INGREDIENTI!$D$2:$D$114),SUMIF(INGREDIENTI!$B$2:$B$114,G88,INGREDIENTI!$D$2:$D$114),SUMIF(INGREDIENTI!$B$2:$B$114,H88,INGREDIENTI!$D$2:$D$114),SUMIF(INGREDIENTI!$B$2:$B$114,I88,INGREDIENTI!$D$2:$D$114),SUMIF(INGREDIENTI!$B$2:$B$114,J88,INGREDIENTI!$D$2:$D$114),SUMIF(INGREDIENTI!$B$2:$B$114,K88,INGREDIENTI!$D$2:$D$114),SUMIF(INGREDIENTI!$B$2:$B$114,L88,INGREDIENTI!$D$2:$D$114))</f>
        <v>0</v>
      </c>
      <c r="C88" s="22" t="s">
        <v>30</v>
      </c>
      <c r="D88" s="23" t="s">
        <v>275</v>
      </c>
      <c r="E88" s="24" t="s">
        <v>24</v>
      </c>
      <c r="F88" s="25" t="s">
        <v>25</v>
      </c>
      <c r="G88" s="24" t="s">
        <v>67</v>
      </c>
      <c r="H88" s="24" t="s">
        <v>48</v>
      </c>
      <c r="I88" s="24" t="s">
        <v>138</v>
      </c>
      <c r="J88" s="24" t="s">
        <v>28</v>
      </c>
      <c r="K88" s="24" t="s">
        <v>28</v>
      </c>
      <c r="L88" s="24" t="s">
        <v>28</v>
      </c>
      <c r="M88" s="26" t="str">
        <f t="shared" si="1"/>
        <v/>
      </c>
      <c r="N88" s="36"/>
      <c r="O88" s="28">
        <f>SUMIF( 'TOTALI PIZZE'!A:A,D88,'TOTALI PIZZE'!B:B)</f>
        <v>0</v>
      </c>
      <c r="P88" s="29"/>
      <c r="Q88" s="30" t="str">
        <f>if(SUMIF(  'TOTALI PIZZE'!A:A,D88,'TOTALI PIZZE'!B:B)=0,"NEW","")</f>
        <v>NEW</v>
      </c>
    </row>
    <row r="89" ht="15.75" customHeight="1">
      <c r="A89" s="38"/>
      <c r="B89" s="21">
        <f>MIN(SUMIF(INGREDIENTI!$B$2:$B$114,E89,INGREDIENTI!$D$2:$D$114),SUMIF(INGREDIENTI!$B$2:$B$114,F89,INGREDIENTI!$D$2:$D$114),SUMIF(INGREDIENTI!$B$2:$B$114,G89,INGREDIENTI!$D$2:$D$114),SUMIF(INGREDIENTI!$B$2:$B$114,H89,INGREDIENTI!$D$2:$D$114),SUMIF(INGREDIENTI!$B$2:$B$114,I89,INGREDIENTI!$D$2:$D$114),SUMIF(INGREDIENTI!$B$2:$B$114,J89,INGREDIENTI!$D$2:$D$114),SUMIF(INGREDIENTI!$B$2:$B$114,K89,INGREDIENTI!$D$2:$D$114),SUMIF(INGREDIENTI!$B$2:$B$114,L89,INGREDIENTI!$D$2:$D$114))</f>
        <v>0</v>
      </c>
      <c r="C89" s="22" t="s">
        <v>30</v>
      </c>
      <c r="D89" s="23" t="s">
        <v>276</v>
      </c>
      <c r="E89" s="24" t="s">
        <v>24</v>
      </c>
      <c r="F89" s="24" t="s">
        <v>28</v>
      </c>
      <c r="G89" s="24" t="s">
        <v>34</v>
      </c>
      <c r="H89" s="24" t="s">
        <v>100</v>
      </c>
      <c r="I89" s="24" t="s">
        <v>277</v>
      </c>
      <c r="J89" s="24" t="s">
        <v>28</v>
      </c>
      <c r="K89" s="24" t="s">
        <v>28</v>
      </c>
      <c r="L89" s="24" t="s">
        <v>28</v>
      </c>
      <c r="M89" s="26" t="str">
        <f t="shared" si="1"/>
        <v/>
      </c>
      <c r="N89" s="36"/>
      <c r="O89" s="28">
        <f>SUMIF( 'TOTALI PIZZE'!A:A,D89,'TOTALI PIZZE'!B:B)</f>
        <v>0</v>
      </c>
      <c r="P89" s="29"/>
      <c r="Q89" s="30" t="str">
        <f>if(SUMIF(  'TOTALI PIZZE'!A:A,D89,'TOTALI PIZZE'!B:B)=0,"NEW","")</f>
        <v>NEW</v>
      </c>
    </row>
    <row r="90" ht="15.75" customHeight="1">
      <c r="A90" s="38"/>
      <c r="B90" s="21">
        <f>MIN(SUMIF(INGREDIENTI!$B$2:$B$114,E90,INGREDIENTI!$D$2:$D$114),SUMIF(INGREDIENTI!$B$2:$B$114,F90,INGREDIENTI!$D$2:$D$114),SUMIF(INGREDIENTI!$B$2:$B$114,G90,INGREDIENTI!$D$2:$D$114),SUMIF(INGREDIENTI!$B$2:$B$114,H90,INGREDIENTI!$D$2:$D$114),SUMIF(INGREDIENTI!$B$2:$B$114,I90,INGREDIENTI!$D$2:$D$114),SUMIF(INGREDIENTI!$B$2:$B$114,J90,INGREDIENTI!$D$2:$D$114),SUMIF(INGREDIENTI!$B$2:$B$114,K90,INGREDIENTI!$D$2:$D$114),SUMIF(INGREDIENTI!$B$2:$B$114,L90,INGREDIENTI!$D$2:$D$114))</f>
        <v>0</v>
      </c>
      <c r="C90" s="22" t="s">
        <v>30</v>
      </c>
      <c r="D90" s="23" t="s">
        <v>278</v>
      </c>
      <c r="E90" s="24" t="s">
        <v>28</v>
      </c>
      <c r="F90" s="24" t="s">
        <v>28</v>
      </c>
      <c r="G90" s="24" t="s">
        <v>233</v>
      </c>
      <c r="H90" s="24" t="s">
        <v>26</v>
      </c>
      <c r="I90" s="24" t="s">
        <v>279</v>
      </c>
      <c r="J90" s="24" t="s">
        <v>280</v>
      </c>
      <c r="K90" s="24" t="s">
        <v>28</v>
      </c>
      <c r="L90" s="24" t="s">
        <v>28</v>
      </c>
      <c r="M90" s="26" t="str">
        <f t="shared" si="1"/>
        <v/>
      </c>
      <c r="N90" s="36"/>
      <c r="O90" s="28">
        <f>SUMIF( 'TOTALI PIZZE'!A:A,D90,'TOTALI PIZZE'!B:B)</f>
        <v>0</v>
      </c>
      <c r="P90" s="29"/>
      <c r="Q90" s="30" t="str">
        <f>if(SUMIF(  'TOTALI PIZZE'!A:A,D90,'TOTALI PIZZE'!B:B)=0,"NEW","")</f>
        <v>NEW</v>
      </c>
    </row>
    <row r="91" ht="15.75" customHeight="1">
      <c r="A91" s="38"/>
      <c r="B91" s="21">
        <f>MIN(SUMIF(INGREDIENTI!$B$2:$B$114,E91,INGREDIENTI!$D$2:$D$114),SUMIF(INGREDIENTI!$B$2:$B$114,F91,INGREDIENTI!$D$2:$D$114),SUMIF(INGREDIENTI!$B$2:$B$114,G91,INGREDIENTI!$D$2:$D$114),SUMIF(INGREDIENTI!$B$2:$B$114,H91,INGREDIENTI!$D$2:$D$114),SUMIF(INGREDIENTI!$B$2:$B$114,I91,INGREDIENTI!$D$2:$D$114),SUMIF(INGREDIENTI!$B$2:$B$114,J91,INGREDIENTI!$D$2:$D$114),SUMIF(INGREDIENTI!$B$2:$B$114,K91,INGREDIENTI!$D$2:$D$114),SUMIF(INGREDIENTI!$B$2:$B$114,L91,INGREDIENTI!$D$2:$D$114))</f>
        <v>0</v>
      </c>
      <c r="C91" s="22" t="s">
        <v>30</v>
      </c>
      <c r="D91" s="33" t="s">
        <v>281</v>
      </c>
      <c r="E91" s="25" t="s">
        <v>24</v>
      </c>
      <c r="F91" s="25" t="s">
        <v>28</v>
      </c>
      <c r="G91" s="25" t="s">
        <v>141</v>
      </c>
      <c r="H91" s="25" t="s">
        <v>282</v>
      </c>
      <c r="I91" s="25" t="s">
        <v>100</v>
      </c>
      <c r="J91" s="25" t="s">
        <v>27</v>
      </c>
      <c r="K91" s="25" t="s">
        <v>28</v>
      </c>
      <c r="L91" s="25" t="s">
        <v>28</v>
      </c>
      <c r="M91" s="26" t="str">
        <f t="shared" si="1"/>
        <v/>
      </c>
      <c r="N91" s="36"/>
      <c r="O91" s="28">
        <f>SUMIF( 'TOTALI PIZZE'!A:A,D91,'TOTALI PIZZE'!B:B)</f>
        <v>0</v>
      </c>
      <c r="P91" s="29"/>
      <c r="Q91" s="30" t="str">
        <f>if(SUMIF(  'TOTALI PIZZE'!A:A,D91,'TOTALI PIZZE'!B:B)=0,"NEW","")</f>
        <v>NEW</v>
      </c>
    </row>
    <row r="92" ht="15.75" customHeight="1">
      <c r="A92" s="38"/>
      <c r="B92" s="21">
        <f>MIN(SUMIF(INGREDIENTI!$B$2:$B$114,E92,INGREDIENTI!$D$2:$D$114),SUMIF(INGREDIENTI!$B$2:$B$114,F92,INGREDIENTI!$D$2:$D$114),SUMIF(INGREDIENTI!$B$2:$B$114,G92,INGREDIENTI!$D$2:$D$114),SUMIF(INGREDIENTI!$B$2:$B$114,H92,INGREDIENTI!$D$2:$D$114),SUMIF(INGREDIENTI!$B$2:$B$114,I92,INGREDIENTI!$D$2:$D$114),SUMIF(INGREDIENTI!$B$2:$B$114,J92,INGREDIENTI!$D$2:$D$114),SUMIF(INGREDIENTI!$B$2:$B$114,K92,INGREDIENTI!$D$2:$D$114),SUMIF(INGREDIENTI!$B$2:$B$114,L92,INGREDIENTI!$D$2:$D$114))</f>
        <v>0</v>
      </c>
      <c r="C92" s="22" t="s">
        <v>30</v>
      </c>
      <c r="D92" s="23" t="s">
        <v>283</v>
      </c>
      <c r="E92" s="24" t="s">
        <v>24</v>
      </c>
      <c r="F92" s="25" t="s">
        <v>25</v>
      </c>
      <c r="G92" s="24" t="s">
        <v>284</v>
      </c>
      <c r="H92" s="24" t="s">
        <v>104</v>
      </c>
      <c r="I92" s="24" t="s">
        <v>55</v>
      </c>
      <c r="J92" s="24" t="s">
        <v>36</v>
      </c>
      <c r="K92" s="24" t="s">
        <v>28</v>
      </c>
      <c r="L92" s="24" t="s">
        <v>28</v>
      </c>
      <c r="M92" s="26" t="str">
        <f t="shared" si="1"/>
        <v/>
      </c>
      <c r="N92" s="36"/>
      <c r="O92" s="28">
        <f>SUMIF( 'TOTALI PIZZE'!A:A,D92,'TOTALI PIZZE'!B:B)</f>
        <v>0</v>
      </c>
      <c r="P92" s="29"/>
      <c r="Q92" s="30" t="str">
        <f>if(SUMIF(  'TOTALI PIZZE'!A:A,D92,'TOTALI PIZZE'!B:B)=0,"NEW","")</f>
        <v>NEW</v>
      </c>
    </row>
    <row r="93" ht="15.75" customHeight="1">
      <c r="A93" s="38"/>
      <c r="B93" s="21">
        <f>MIN(SUMIF(INGREDIENTI!$B$2:$B$114,E93,INGREDIENTI!$D$2:$D$114),SUMIF(INGREDIENTI!$B$2:$B$114,F93,INGREDIENTI!$D$2:$D$114),SUMIF(INGREDIENTI!$B$2:$B$114,G93,INGREDIENTI!$D$2:$D$114),SUMIF(INGREDIENTI!$B$2:$B$114,H93,INGREDIENTI!$D$2:$D$114),SUMIF(INGREDIENTI!$B$2:$B$114,I93,INGREDIENTI!$D$2:$D$114),SUMIF(INGREDIENTI!$B$2:$B$114,J93,INGREDIENTI!$D$2:$D$114),SUMIF(INGREDIENTI!$B$2:$B$114,K93,INGREDIENTI!$D$2:$D$114),SUMIF(INGREDIENTI!$B$2:$B$114,L93,INGREDIENTI!$D$2:$D$114))</f>
        <v>0</v>
      </c>
      <c r="C93" s="22" t="s">
        <v>30</v>
      </c>
      <c r="D93" s="23" t="s">
        <v>285</v>
      </c>
      <c r="E93" s="24" t="s">
        <v>28</v>
      </c>
      <c r="F93" s="25" t="s">
        <v>25</v>
      </c>
      <c r="G93" s="24" t="s">
        <v>117</v>
      </c>
      <c r="H93" s="24" t="s">
        <v>286</v>
      </c>
      <c r="I93" s="24" t="s">
        <v>287</v>
      </c>
      <c r="J93" s="24" t="s">
        <v>288</v>
      </c>
      <c r="K93" s="24" t="s">
        <v>36</v>
      </c>
      <c r="L93" s="24" t="s">
        <v>28</v>
      </c>
      <c r="M93" s="26" t="str">
        <f t="shared" si="1"/>
        <v/>
      </c>
      <c r="N93" s="36"/>
      <c r="O93" s="28">
        <f>SUMIF( 'TOTALI PIZZE'!A:A,D93,'TOTALI PIZZE'!B:B)</f>
        <v>0</v>
      </c>
      <c r="P93" s="29"/>
      <c r="Q93" s="30" t="str">
        <f>if(SUMIF(  'TOTALI PIZZE'!A:A,D93,'TOTALI PIZZE'!B:B)=0,"NEW","")</f>
        <v>NEW</v>
      </c>
    </row>
    <row r="94" ht="15.75" customHeight="1">
      <c r="A94" s="20"/>
      <c r="B94" s="21">
        <f>MIN(SUMIF(INGREDIENTI!$B$2:$B$114,E94,INGREDIENTI!$D$2:$D$114),SUMIF(INGREDIENTI!$B$2:$B$114,F94,INGREDIENTI!$D$2:$D$114),SUMIF(INGREDIENTI!$B$2:$B$114,G94,INGREDIENTI!$D$2:$D$114),SUMIF(INGREDIENTI!$B$2:$B$114,H94,INGREDIENTI!$D$2:$D$114),SUMIF(INGREDIENTI!$B$2:$B$114,I94,INGREDIENTI!$D$2:$D$114),SUMIF(INGREDIENTI!$B$2:$B$114,J94,INGREDIENTI!$D$2:$D$114),SUMIF(INGREDIENTI!$B$2:$B$114,K94,INGREDIENTI!$D$2:$D$114),SUMIF(INGREDIENTI!$B$2:$B$114,L94,INGREDIENTI!$D$2:$D$114))</f>
        <v>0</v>
      </c>
      <c r="C94" s="22" t="s">
        <v>30</v>
      </c>
      <c r="D94" s="23" t="s">
        <v>289</v>
      </c>
      <c r="E94" s="24" t="s">
        <v>28</v>
      </c>
      <c r="F94" s="24" t="s">
        <v>28</v>
      </c>
      <c r="G94" s="24" t="s">
        <v>141</v>
      </c>
      <c r="H94" s="24" t="s">
        <v>290</v>
      </c>
      <c r="I94" s="24" t="s">
        <v>151</v>
      </c>
      <c r="J94" s="24" t="s">
        <v>291</v>
      </c>
      <c r="K94" s="24" t="s">
        <v>28</v>
      </c>
      <c r="L94" s="24" t="s">
        <v>28</v>
      </c>
      <c r="M94" s="26" t="str">
        <f t="shared" si="1"/>
        <v/>
      </c>
      <c r="N94" s="27"/>
      <c r="O94" s="28">
        <f>SUMIF( 'TOTALI PIZZE'!A:A,D94,'TOTALI PIZZE'!B:B)</f>
        <v>1</v>
      </c>
      <c r="P94" s="29"/>
      <c r="Q94" s="30" t="str">
        <f>if(SUMIF(  'TOTALI PIZZE'!A:A,D94,'TOTALI PIZZE'!B:B)=0,"NEW","")</f>
        <v/>
      </c>
    </row>
    <row r="95" ht="15.75" customHeight="1">
      <c r="A95" s="38"/>
      <c r="B95" s="21">
        <f>MIN(SUMIF(INGREDIENTI!$B$2:$B$114,E95,INGREDIENTI!$D$2:$D$114),SUMIF(INGREDIENTI!$B$2:$B$114,F95,INGREDIENTI!$D$2:$D$114),SUMIF(INGREDIENTI!$B$2:$B$114,G95,INGREDIENTI!$D$2:$D$114),SUMIF(INGREDIENTI!$B$2:$B$114,H95,INGREDIENTI!$D$2:$D$114),SUMIF(INGREDIENTI!$B$2:$B$114,I95,INGREDIENTI!$D$2:$D$114),SUMIF(INGREDIENTI!$B$2:$B$114,J95,INGREDIENTI!$D$2:$D$114),SUMIF(INGREDIENTI!$B$2:$B$114,K95,INGREDIENTI!$D$2:$D$114),SUMIF(INGREDIENTI!$B$2:$B$114,L95,INGREDIENTI!$D$2:$D$114))</f>
        <v>0</v>
      </c>
      <c r="C95" s="22" t="s">
        <v>30</v>
      </c>
      <c r="D95" s="23" t="s">
        <v>292</v>
      </c>
      <c r="E95" s="24" t="s">
        <v>24</v>
      </c>
      <c r="F95" s="25" t="s">
        <v>25</v>
      </c>
      <c r="G95" s="24" t="s">
        <v>249</v>
      </c>
      <c r="H95" s="24" t="s">
        <v>53</v>
      </c>
      <c r="I95" s="24" t="s">
        <v>28</v>
      </c>
      <c r="J95" s="24" t="s">
        <v>28</v>
      </c>
      <c r="K95" s="24" t="s">
        <v>28</v>
      </c>
      <c r="L95" s="24" t="s">
        <v>28</v>
      </c>
      <c r="M95" s="26" t="str">
        <f t="shared" si="1"/>
        <v/>
      </c>
      <c r="N95" s="36"/>
      <c r="O95" s="28">
        <f>SUMIF( 'TOTALI PIZZE'!A:A,D95,'TOTALI PIZZE'!B:B)</f>
        <v>0</v>
      </c>
      <c r="P95" s="29"/>
      <c r="Q95" s="30" t="str">
        <f>if(SUMIF(  'TOTALI PIZZE'!A:A,D95,'TOTALI PIZZE'!B:B)=0,"NEW","")</f>
        <v>NEW</v>
      </c>
    </row>
    <row r="96" ht="15.75" customHeight="1">
      <c r="A96" s="38"/>
      <c r="B96" s="21">
        <f>MIN(SUMIF(INGREDIENTI!$B$2:$B$114,E96,INGREDIENTI!$D$2:$D$114),SUMIF(INGREDIENTI!$B$2:$B$114,F96,INGREDIENTI!$D$2:$D$114),SUMIF(INGREDIENTI!$B$2:$B$114,G96,INGREDIENTI!$D$2:$D$114),SUMIF(INGREDIENTI!$B$2:$B$114,H96,INGREDIENTI!$D$2:$D$114),SUMIF(INGREDIENTI!$B$2:$B$114,I96,INGREDIENTI!$D$2:$D$114),SUMIF(INGREDIENTI!$B$2:$B$114,J96,INGREDIENTI!$D$2:$D$114),SUMIF(INGREDIENTI!$B$2:$B$114,K96,INGREDIENTI!$D$2:$D$114),SUMIF(INGREDIENTI!$B$2:$B$114,L96,INGREDIENTI!$D$2:$D$114))</f>
        <v>0</v>
      </c>
      <c r="C96" s="22" t="s">
        <v>30</v>
      </c>
      <c r="D96" s="23" t="s">
        <v>293</v>
      </c>
      <c r="E96" s="24" t="s">
        <v>24</v>
      </c>
      <c r="F96" s="24" t="s">
        <v>28</v>
      </c>
      <c r="G96" s="24" t="s">
        <v>294</v>
      </c>
      <c r="H96" s="24" t="s">
        <v>129</v>
      </c>
      <c r="I96" s="24" t="s">
        <v>295</v>
      </c>
      <c r="J96" s="24" t="s">
        <v>296</v>
      </c>
      <c r="K96" s="24" t="s">
        <v>28</v>
      </c>
      <c r="L96" s="24" t="s">
        <v>28</v>
      </c>
      <c r="M96" s="26" t="str">
        <f t="shared" si="1"/>
        <v/>
      </c>
      <c r="N96" s="36"/>
      <c r="O96" s="28">
        <f>SUMIF( 'TOTALI PIZZE'!A:A,D96,'TOTALI PIZZE'!B:B)</f>
        <v>0</v>
      </c>
      <c r="P96" s="29"/>
      <c r="Q96" s="30" t="str">
        <f>if(SUMIF(  'TOTALI PIZZE'!A:A,D96,'TOTALI PIZZE'!B:B)=0,"NEW","")</f>
        <v>NEW</v>
      </c>
    </row>
    <row r="97" ht="15.75" customHeight="1">
      <c r="A97" s="38"/>
      <c r="B97" s="21">
        <f>MIN(SUMIF(INGREDIENTI!$B$2:$B$114,E97,INGREDIENTI!$D$2:$D$114),SUMIF(INGREDIENTI!$B$2:$B$114,F97,INGREDIENTI!$D$2:$D$114),SUMIF(INGREDIENTI!$B$2:$B$114,G97,INGREDIENTI!$D$2:$D$114),SUMIF(INGREDIENTI!$B$2:$B$114,H97,INGREDIENTI!$D$2:$D$114),SUMIF(INGREDIENTI!$B$2:$B$114,I97,INGREDIENTI!$D$2:$D$114),SUMIF(INGREDIENTI!$B$2:$B$114,J97,INGREDIENTI!$D$2:$D$114),SUMIF(INGREDIENTI!$B$2:$B$114,K97,INGREDIENTI!$D$2:$D$114),SUMIF(INGREDIENTI!$B$2:$B$114,L97,INGREDIENTI!$D$2:$D$114))</f>
        <v>0</v>
      </c>
      <c r="C97" s="22" t="s">
        <v>30</v>
      </c>
      <c r="D97" s="23" t="s">
        <v>297</v>
      </c>
      <c r="E97" s="24" t="s">
        <v>24</v>
      </c>
      <c r="F97" s="24" t="s">
        <v>28</v>
      </c>
      <c r="G97" s="24" t="s">
        <v>117</v>
      </c>
      <c r="H97" s="24" t="s">
        <v>201</v>
      </c>
      <c r="I97" s="24" t="s">
        <v>36</v>
      </c>
      <c r="J97" s="24" t="s">
        <v>28</v>
      </c>
      <c r="K97" s="24" t="s">
        <v>28</v>
      </c>
      <c r="L97" s="24" t="s">
        <v>28</v>
      </c>
      <c r="M97" s="26" t="str">
        <f t="shared" si="1"/>
        <v/>
      </c>
      <c r="N97" s="36"/>
      <c r="O97" s="28">
        <f>SUMIF( 'TOTALI PIZZE'!A:A,D97,'TOTALI PIZZE'!B:B)</f>
        <v>0</v>
      </c>
      <c r="P97" s="29"/>
      <c r="Q97" s="30" t="str">
        <f>if(SUMIF(  'TOTALI PIZZE'!A:A,D97,'TOTALI PIZZE'!B:B)=0,"NEW","")</f>
        <v>NEW</v>
      </c>
      <c r="R97" s="37"/>
      <c r="T97" s="37"/>
      <c r="U97" s="37"/>
      <c r="V97" s="37"/>
      <c r="W97" s="37"/>
      <c r="X97" s="37"/>
      <c r="Y97" s="37"/>
      <c r="Z97" s="37"/>
      <c r="AA97" s="37"/>
      <c r="AB97" s="37"/>
    </row>
    <row r="98" ht="15.75" customHeight="1">
      <c r="A98" s="38"/>
      <c r="B98" s="21">
        <f>MIN(SUMIF(INGREDIENTI!$B$2:$B$114,E98,INGREDIENTI!$D$2:$D$114),SUMIF(INGREDIENTI!$B$2:$B$114,F98,INGREDIENTI!$D$2:$D$114),SUMIF(INGREDIENTI!$B$2:$B$114,G98,INGREDIENTI!$D$2:$D$114),SUMIF(INGREDIENTI!$B$2:$B$114,H98,INGREDIENTI!$D$2:$D$114),SUMIF(INGREDIENTI!$B$2:$B$114,I98,INGREDIENTI!$D$2:$D$114),SUMIF(INGREDIENTI!$B$2:$B$114,J98,INGREDIENTI!$D$2:$D$114),SUMIF(INGREDIENTI!$B$2:$B$114,K98,INGREDIENTI!$D$2:$D$114),SUMIF(INGREDIENTI!$B$2:$B$114,L98,INGREDIENTI!$D$2:$D$114))</f>
        <v>0</v>
      </c>
      <c r="C98" s="22" t="s">
        <v>30</v>
      </c>
      <c r="D98" s="23" t="s">
        <v>298</v>
      </c>
      <c r="E98" s="24" t="s">
        <v>24</v>
      </c>
      <c r="F98" s="25" t="s">
        <v>25</v>
      </c>
      <c r="G98" s="24" t="s">
        <v>299</v>
      </c>
      <c r="H98" s="24" t="s">
        <v>224</v>
      </c>
      <c r="I98" s="24" t="s">
        <v>36</v>
      </c>
      <c r="J98" s="24" t="s">
        <v>28</v>
      </c>
      <c r="K98" s="24" t="s">
        <v>28</v>
      </c>
      <c r="L98" s="24" t="s">
        <v>28</v>
      </c>
      <c r="M98" s="26" t="str">
        <f t="shared" si="1"/>
        <v/>
      </c>
      <c r="N98" s="36"/>
      <c r="O98" s="28">
        <f>SUMIF( 'TOTALI PIZZE'!A:A,D98,'TOTALI PIZZE'!B:B)</f>
        <v>0</v>
      </c>
      <c r="P98" s="29"/>
      <c r="Q98" s="30" t="str">
        <f>if(SUMIF(  'TOTALI PIZZE'!A:A,D98,'TOTALI PIZZE'!B:B)=0,"NEW","")</f>
        <v>NEW</v>
      </c>
      <c r="S98" s="37"/>
    </row>
    <row r="99" ht="15.75" customHeight="1">
      <c r="A99" s="38"/>
      <c r="B99" s="21">
        <f>MIN(SUMIF(INGREDIENTI!$B$2:$B$114,E99,INGREDIENTI!$D$2:$D$114),SUMIF(INGREDIENTI!$B$2:$B$114,F99,INGREDIENTI!$D$2:$D$114),SUMIF(INGREDIENTI!$B$2:$B$114,G99,INGREDIENTI!$D$2:$D$114),SUMIF(INGREDIENTI!$B$2:$B$114,H99,INGREDIENTI!$D$2:$D$114),SUMIF(INGREDIENTI!$B$2:$B$114,I99,INGREDIENTI!$D$2:$D$114),SUMIF(INGREDIENTI!$B$2:$B$114,J99,INGREDIENTI!$D$2:$D$114),SUMIF(INGREDIENTI!$B$2:$B$114,K99,INGREDIENTI!$D$2:$D$114),SUMIF(INGREDIENTI!$B$2:$B$114,L99,INGREDIENTI!$D$2:$D$114))</f>
        <v>0</v>
      </c>
      <c r="C99" s="22" t="s">
        <v>30</v>
      </c>
      <c r="D99" s="23" t="s">
        <v>300</v>
      </c>
      <c r="E99" s="24" t="s">
        <v>24</v>
      </c>
      <c r="F99" s="25" t="s">
        <v>25</v>
      </c>
      <c r="G99" s="24" t="s">
        <v>26</v>
      </c>
      <c r="H99" s="24" t="s">
        <v>301</v>
      </c>
      <c r="I99" s="24" t="s">
        <v>272</v>
      </c>
      <c r="J99" s="24" t="s">
        <v>28</v>
      </c>
      <c r="K99" s="24" t="s">
        <v>28</v>
      </c>
      <c r="L99" s="24" t="s">
        <v>28</v>
      </c>
      <c r="M99" s="26" t="str">
        <f t="shared" si="1"/>
        <v/>
      </c>
      <c r="N99" s="36"/>
      <c r="O99" s="28">
        <f>SUMIF( 'TOTALI PIZZE'!A:A,D99,'TOTALI PIZZE'!B:B)</f>
        <v>0</v>
      </c>
      <c r="P99" s="29"/>
      <c r="Q99" s="30" t="str">
        <f>if(SUMIF(  'TOTALI PIZZE'!A:A,D99,'TOTALI PIZZE'!B:B)=0,"NEW","")</f>
        <v>NEW</v>
      </c>
      <c r="S99" s="37"/>
    </row>
    <row r="100" ht="15.75" customHeight="1">
      <c r="A100" s="38"/>
      <c r="B100" s="21">
        <f>MIN(SUMIF(INGREDIENTI!$B$2:$B$114,E100,INGREDIENTI!$D$2:$D$114),SUMIF(INGREDIENTI!$B$2:$B$114,F100,INGREDIENTI!$D$2:$D$114),SUMIF(INGREDIENTI!$B$2:$B$114,G100,INGREDIENTI!$D$2:$D$114),SUMIF(INGREDIENTI!$B$2:$B$114,H100,INGREDIENTI!$D$2:$D$114),SUMIF(INGREDIENTI!$B$2:$B$114,I100,INGREDIENTI!$D$2:$D$114),SUMIF(INGREDIENTI!$B$2:$B$114,J100,INGREDIENTI!$D$2:$D$114),SUMIF(INGREDIENTI!$B$2:$B$114,K100,INGREDIENTI!$D$2:$D$114),SUMIF(INGREDIENTI!$B$2:$B$114,L100,INGREDIENTI!$D$2:$D$114))</f>
        <v>0</v>
      </c>
      <c r="C100" s="22" t="s">
        <v>30</v>
      </c>
      <c r="D100" s="33" t="s">
        <v>302</v>
      </c>
      <c r="E100" s="25" t="s">
        <v>28</v>
      </c>
      <c r="F100" s="25" t="s">
        <v>25</v>
      </c>
      <c r="G100" s="25" t="s">
        <v>34</v>
      </c>
      <c r="H100" s="25" t="s">
        <v>76</v>
      </c>
      <c r="I100" s="25" t="s">
        <v>36</v>
      </c>
      <c r="J100" s="25" t="s">
        <v>28</v>
      </c>
      <c r="K100" s="25" t="s">
        <v>28</v>
      </c>
      <c r="L100" s="25" t="s">
        <v>28</v>
      </c>
      <c r="M100" s="26" t="str">
        <f t="shared" si="1"/>
        <v/>
      </c>
      <c r="N100" s="36"/>
      <c r="O100" s="28">
        <f>SUMIF( 'TOTALI PIZZE'!A:A,D100,'TOTALI PIZZE'!B:B)</f>
        <v>1</v>
      </c>
      <c r="P100" s="29"/>
      <c r="Q100" s="30" t="str">
        <f>if(SUMIF(  'TOTALI PIZZE'!A:A,D100,'TOTALI PIZZE'!B:B)=0,"NEW","")</f>
        <v/>
      </c>
    </row>
    <row r="101" ht="15.75" customHeight="1">
      <c r="A101" s="38"/>
      <c r="B101" s="21">
        <f>MIN(SUMIF(INGREDIENTI!$B$2:$B$114,E101,INGREDIENTI!$D$2:$D$114),SUMIF(INGREDIENTI!$B$2:$B$114,F101,INGREDIENTI!$D$2:$D$114),SUMIF(INGREDIENTI!$B$2:$B$114,G101,INGREDIENTI!$D$2:$D$114),SUMIF(INGREDIENTI!$B$2:$B$114,H101,INGREDIENTI!$D$2:$D$114),SUMIF(INGREDIENTI!$B$2:$B$114,I101,INGREDIENTI!$D$2:$D$114),SUMIF(INGREDIENTI!$B$2:$B$114,J101,INGREDIENTI!$D$2:$D$114),SUMIF(INGREDIENTI!$B$2:$B$114,K101,INGREDIENTI!$D$2:$D$114),SUMIF(INGREDIENTI!$B$2:$B$114,L101,INGREDIENTI!$D$2:$D$114))</f>
        <v>0</v>
      </c>
      <c r="C101" s="22" t="s">
        <v>30</v>
      </c>
      <c r="D101" s="33" t="s">
        <v>303</v>
      </c>
      <c r="E101" s="25" t="s">
        <v>28</v>
      </c>
      <c r="F101" s="25" t="s">
        <v>25</v>
      </c>
      <c r="G101" s="25" t="s">
        <v>63</v>
      </c>
      <c r="H101" s="25" t="s">
        <v>53</v>
      </c>
      <c r="I101" s="25" t="s">
        <v>76</v>
      </c>
      <c r="J101" s="25" t="s">
        <v>28</v>
      </c>
      <c r="K101" s="25" t="s">
        <v>28</v>
      </c>
      <c r="L101" s="25" t="s">
        <v>28</v>
      </c>
      <c r="M101" s="26" t="str">
        <f t="shared" si="1"/>
        <v/>
      </c>
      <c r="N101" s="36"/>
      <c r="O101" s="28">
        <f>SUMIF( 'TOTALI PIZZE'!A:A,D101,'TOTALI PIZZE'!B:B)</f>
        <v>0</v>
      </c>
      <c r="P101" s="29"/>
      <c r="Q101" s="30" t="str">
        <f>if(SUMIF(  'TOTALI PIZZE'!A:A,D101,'TOTALI PIZZE'!B:B)=0,"NEW","")</f>
        <v>NEW</v>
      </c>
    </row>
    <row r="102" ht="15.75" customHeight="1">
      <c r="A102" s="38"/>
      <c r="B102" s="21">
        <f>MIN(SUMIF(INGREDIENTI!$B$2:$B$114,E102,INGREDIENTI!$D$2:$D$114),SUMIF(INGREDIENTI!$B$2:$B$114,F102,INGREDIENTI!$D$2:$D$114),SUMIF(INGREDIENTI!$B$2:$B$114,G102,INGREDIENTI!$D$2:$D$114),SUMIF(INGREDIENTI!$B$2:$B$114,H102,INGREDIENTI!$D$2:$D$114),SUMIF(INGREDIENTI!$B$2:$B$114,I102,INGREDIENTI!$D$2:$D$114),SUMIF(INGREDIENTI!$B$2:$B$114,J102,INGREDIENTI!$D$2:$D$114),SUMIF(INGREDIENTI!$B$2:$B$114,K102,INGREDIENTI!$D$2:$D$114),SUMIF(INGREDIENTI!$B$2:$B$114,L102,INGREDIENTI!$D$2:$D$114))</f>
        <v>0</v>
      </c>
      <c r="C102" s="22" t="s">
        <v>30</v>
      </c>
      <c r="D102" s="23" t="s">
        <v>304</v>
      </c>
      <c r="E102" s="24" t="s">
        <v>28</v>
      </c>
      <c r="F102" s="25" t="s">
        <v>25</v>
      </c>
      <c r="G102" s="24" t="s">
        <v>305</v>
      </c>
      <c r="H102" s="24" t="s">
        <v>104</v>
      </c>
      <c r="I102" s="24" t="s">
        <v>229</v>
      </c>
      <c r="J102" s="24" t="s">
        <v>28</v>
      </c>
      <c r="K102" s="24" t="s">
        <v>28</v>
      </c>
      <c r="L102" s="24" t="s">
        <v>28</v>
      </c>
      <c r="M102" s="26" t="str">
        <f t="shared" si="1"/>
        <v/>
      </c>
      <c r="N102" s="36"/>
      <c r="O102" s="28">
        <f>SUMIF( 'TOTALI PIZZE'!A:A,D102,'TOTALI PIZZE'!B:B)</f>
        <v>0</v>
      </c>
      <c r="P102" s="29"/>
      <c r="Q102" s="30" t="str">
        <f>if(SUMIF(  'TOTALI PIZZE'!A:A,D102,'TOTALI PIZZE'!B:B)=0,"NEW","")</f>
        <v>NEW</v>
      </c>
    </row>
    <row r="103" ht="15.75" customHeight="1">
      <c r="A103" s="38"/>
      <c r="B103" s="21">
        <f>MIN(SUMIF(INGREDIENTI!$B$2:$B$114,E103,INGREDIENTI!$D$2:$D$114),SUMIF(INGREDIENTI!$B$2:$B$114,F103,INGREDIENTI!$D$2:$D$114),SUMIF(INGREDIENTI!$B$2:$B$114,G103,INGREDIENTI!$D$2:$D$114),SUMIF(INGREDIENTI!$B$2:$B$114,H103,INGREDIENTI!$D$2:$D$114),SUMIF(INGREDIENTI!$B$2:$B$114,I103,INGREDIENTI!$D$2:$D$114),SUMIF(INGREDIENTI!$B$2:$B$114,J103,INGREDIENTI!$D$2:$D$114),SUMIF(INGREDIENTI!$B$2:$B$114,K103,INGREDIENTI!$D$2:$D$114),SUMIF(INGREDIENTI!$B$2:$B$114,L103,INGREDIENTI!$D$2:$D$114))</f>
        <v>0</v>
      </c>
      <c r="C103" s="22" t="s">
        <v>30</v>
      </c>
      <c r="D103" s="23" t="s">
        <v>306</v>
      </c>
      <c r="E103" s="24" t="s">
        <v>28</v>
      </c>
      <c r="F103" s="24" t="s">
        <v>28</v>
      </c>
      <c r="G103" s="24" t="s">
        <v>305</v>
      </c>
      <c r="H103" s="24" t="s">
        <v>141</v>
      </c>
      <c r="I103" s="24" t="s">
        <v>231</v>
      </c>
      <c r="J103" s="24" t="s">
        <v>55</v>
      </c>
      <c r="K103" s="24" t="s">
        <v>35</v>
      </c>
      <c r="L103" s="24" t="s">
        <v>28</v>
      </c>
      <c r="M103" s="26" t="str">
        <f t="shared" si="1"/>
        <v/>
      </c>
      <c r="N103" s="36"/>
      <c r="O103" s="28">
        <f>SUMIF( 'TOTALI PIZZE'!A:A,D103,'TOTALI PIZZE'!B:B)</f>
        <v>0</v>
      </c>
      <c r="P103" s="29"/>
      <c r="Q103" s="30" t="str">
        <f>if(SUMIF(  'TOTALI PIZZE'!A:A,D103,'TOTALI PIZZE'!B:B)=0,"NEW","")</f>
        <v>NEW</v>
      </c>
    </row>
    <row r="104" ht="15.75" customHeight="1">
      <c r="A104" s="38"/>
      <c r="B104" s="21">
        <f>MIN(SUMIF(INGREDIENTI!$B$2:$B$114,E104,INGREDIENTI!$D$2:$D$114),SUMIF(INGREDIENTI!$B$2:$B$114,F104,INGREDIENTI!$D$2:$D$114),SUMIF(INGREDIENTI!$B$2:$B$114,G104,INGREDIENTI!$D$2:$D$114),SUMIF(INGREDIENTI!$B$2:$B$114,H104,INGREDIENTI!$D$2:$D$114),SUMIF(INGREDIENTI!$B$2:$B$114,I104,INGREDIENTI!$D$2:$D$114),SUMIF(INGREDIENTI!$B$2:$B$114,J104,INGREDIENTI!$D$2:$D$114),SUMIF(INGREDIENTI!$B$2:$B$114,K104,INGREDIENTI!$D$2:$D$114),SUMIF(INGREDIENTI!$B$2:$B$114,L104,INGREDIENTI!$D$2:$D$114))</f>
        <v>0</v>
      </c>
      <c r="C104" s="22" t="s">
        <v>30</v>
      </c>
      <c r="D104" s="23" t="s">
        <v>307</v>
      </c>
      <c r="E104" s="24" t="s">
        <v>24</v>
      </c>
      <c r="F104" s="24" t="s">
        <v>28</v>
      </c>
      <c r="G104" s="24" t="s">
        <v>294</v>
      </c>
      <c r="H104" s="24" t="s">
        <v>258</v>
      </c>
      <c r="I104" s="24" t="s">
        <v>296</v>
      </c>
      <c r="J104" s="24" t="s">
        <v>138</v>
      </c>
      <c r="K104" s="24" t="s">
        <v>28</v>
      </c>
      <c r="L104" s="24" t="s">
        <v>28</v>
      </c>
      <c r="M104" s="26" t="str">
        <f t="shared" si="1"/>
        <v/>
      </c>
      <c r="N104" s="36"/>
      <c r="O104" s="28">
        <f>SUMIF( 'TOTALI PIZZE'!A:A,D104,'TOTALI PIZZE'!B:B)</f>
        <v>0</v>
      </c>
      <c r="P104" s="29"/>
      <c r="Q104" s="30" t="str">
        <f>if(SUMIF(  'TOTALI PIZZE'!A:A,D104,'TOTALI PIZZE'!B:B)=0,"NEW","")</f>
        <v>NEW</v>
      </c>
    </row>
    <row r="105" ht="15.75" customHeight="1">
      <c r="A105" s="38"/>
      <c r="B105" s="21">
        <f>MIN(SUMIF(INGREDIENTI!$B$2:$B$114,E105,INGREDIENTI!$D$2:$D$114),SUMIF(INGREDIENTI!$B$2:$B$114,F105,INGREDIENTI!$D$2:$D$114),SUMIF(INGREDIENTI!$B$2:$B$114,G105,INGREDIENTI!$D$2:$D$114),SUMIF(INGREDIENTI!$B$2:$B$114,H105,INGREDIENTI!$D$2:$D$114),SUMIF(INGREDIENTI!$B$2:$B$114,I105,INGREDIENTI!$D$2:$D$114),SUMIF(INGREDIENTI!$B$2:$B$114,J105,INGREDIENTI!$D$2:$D$114),SUMIF(INGREDIENTI!$B$2:$B$114,K105,INGREDIENTI!$D$2:$D$114),SUMIF(INGREDIENTI!$B$2:$B$114,L105,INGREDIENTI!$D$2:$D$114))</f>
        <v>0</v>
      </c>
      <c r="C105" s="22" t="s">
        <v>30</v>
      </c>
      <c r="D105" s="23" t="s">
        <v>308</v>
      </c>
      <c r="E105" s="24" t="s">
        <v>24</v>
      </c>
      <c r="F105" s="24" t="s">
        <v>28</v>
      </c>
      <c r="G105" s="24" t="s">
        <v>66</v>
      </c>
      <c r="H105" s="24" t="s">
        <v>48</v>
      </c>
      <c r="I105" s="24" t="s">
        <v>36</v>
      </c>
      <c r="J105" s="24" t="s">
        <v>28</v>
      </c>
      <c r="K105" s="24" t="s">
        <v>28</v>
      </c>
      <c r="L105" s="24" t="s">
        <v>28</v>
      </c>
      <c r="M105" s="26" t="str">
        <f t="shared" si="1"/>
        <v/>
      </c>
      <c r="N105" s="36"/>
      <c r="O105" s="28">
        <f>SUMIF( 'TOTALI PIZZE'!A:A,D105,'TOTALI PIZZE'!B:B)</f>
        <v>0</v>
      </c>
      <c r="P105" s="29"/>
      <c r="Q105" s="30" t="str">
        <f>if(SUMIF(  'TOTALI PIZZE'!A:A,D105,'TOTALI PIZZE'!B:B)=0,"NEW","")</f>
        <v>NEW</v>
      </c>
    </row>
    <row r="106" ht="15.75" customHeight="1">
      <c r="A106" s="38"/>
      <c r="B106" s="21">
        <f>MIN(SUMIF(INGREDIENTI!$B$2:$B$114,E106,INGREDIENTI!$D$2:$D$114),SUMIF(INGREDIENTI!$B$2:$B$114,F106,INGREDIENTI!$D$2:$D$114),SUMIF(INGREDIENTI!$B$2:$B$114,G106,INGREDIENTI!$D$2:$D$114),SUMIF(INGREDIENTI!$B$2:$B$114,H106,INGREDIENTI!$D$2:$D$114),SUMIF(INGREDIENTI!$B$2:$B$114,I106,INGREDIENTI!$D$2:$D$114),SUMIF(INGREDIENTI!$B$2:$B$114,J106,INGREDIENTI!$D$2:$D$114),SUMIF(INGREDIENTI!$B$2:$B$114,K106,INGREDIENTI!$D$2:$D$114),SUMIF(INGREDIENTI!$B$2:$B$114,L106,INGREDIENTI!$D$2:$D$114))</f>
        <v>0</v>
      </c>
      <c r="C106" s="22" t="s">
        <v>30</v>
      </c>
      <c r="D106" s="23" t="s">
        <v>309</v>
      </c>
      <c r="E106" s="24" t="s">
        <v>24</v>
      </c>
      <c r="F106" s="24" t="s">
        <v>28</v>
      </c>
      <c r="G106" s="24" t="s">
        <v>117</v>
      </c>
      <c r="H106" s="24" t="s">
        <v>67</v>
      </c>
      <c r="I106" s="24" t="s">
        <v>310</v>
      </c>
      <c r="J106" s="24" t="s">
        <v>28</v>
      </c>
      <c r="K106" s="24" t="s">
        <v>28</v>
      </c>
      <c r="L106" s="24" t="s">
        <v>28</v>
      </c>
      <c r="M106" s="26" t="str">
        <f t="shared" si="1"/>
        <v/>
      </c>
      <c r="N106" s="36"/>
      <c r="O106" s="28">
        <f>SUMIF( 'TOTALI PIZZE'!A:A,D106,'TOTALI PIZZE'!B:B)</f>
        <v>0</v>
      </c>
      <c r="P106" s="29"/>
      <c r="Q106" s="30" t="str">
        <f>if(SUMIF(  'TOTALI PIZZE'!A:A,D106,'TOTALI PIZZE'!B:B)=0,"NEW","")</f>
        <v>NEW</v>
      </c>
    </row>
    <row r="107" ht="15.75" customHeight="1">
      <c r="A107" s="38"/>
      <c r="B107" s="21">
        <f>MIN(SUMIF(INGREDIENTI!$B$2:$B$114,E107,INGREDIENTI!$D$2:$D$114),SUMIF(INGREDIENTI!$B$2:$B$114,F107,INGREDIENTI!$D$2:$D$114),SUMIF(INGREDIENTI!$B$2:$B$114,G107,INGREDIENTI!$D$2:$D$114),SUMIF(INGREDIENTI!$B$2:$B$114,H107,INGREDIENTI!$D$2:$D$114),SUMIF(INGREDIENTI!$B$2:$B$114,I107,INGREDIENTI!$D$2:$D$114),SUMIF(INGREDIENTI!$B$2:$B$114,J107,INGREDIENTI!$D$2:$D$114),SUMIF(INGREDIENTI!$B$2:$B$114,K107,INGREDIENTI!$D$2:$D$114),SUMIF(INGREDIENTI!$B$2:$B$114,L107,INGREDIENTI!$D$2:$D$114))</f>
        <v>0</v>
      </c>
      <c r="C107" s="22" t="s">
        <v>30</v>
      </c>
      <c r="D107" s="23" t="s">
        <v>311</v>
      </c>
      <c r="E107" s="24" t="s">
        <v>28</v>
      </c>
      <c r="F107" s="24" t="s">
        <v>28</v>
      </c>
      <c r="G107" s="24" t="s">
        <v>312</v>
      </c>
      <c r="H107" s="24" t="s">
        <v>141</v>
      </c>
      <c r="I107" s="24" t="s">
        <v>201</v>
      </c>
      <c r="J107" s="24" t="s">
        <v>87</v>
      </c>
      <c r="K107" s="24" t="s">
        <v>274</v>
      </c>
      <c r="L107" s="24" t="s">
        <v>28</v>
      </c>
      <c r="M107" s="26" t="str">
        <f t="shared" si="1"/>
        <v/>
      </c>
      <c r="N107" s="36"/>
      <c r="O107" s="28">
        <f>SUMIF( 'TOTALI PIZZE'!A:A,D107,'TOTALI PIZZE'!B:B)</f>
        <v>0</v>
      </c>
      <c r="P107" s="29"/>
      <c r="Q107" s="30" t="str">
        <f>if(SUMIF(  'TOTALI PIZZE'!A:A,D107,'TOTALI PIZZE'!B:B)=0,"NEW","")</f>
        <v>NEW</v>
      </c>
    </row>
    <row r="108" ht="15.75" customHeight="1">
      <c r="A108" s="20"/>
      <c r="B108" s="21">
        <f>MIN(SUMIF(INGREDIENTI!$B$2:$B$114,E108,INGREDIENTI!$D$2:$D$114),SUMIF(INGREDIENTI!$B$2:$B$114,F108,INGREDIENTI!$D$2:$D$114),SUMIF(INGREDIENTI!$B$2:$B$114,G108,INGREDIENTI!$D$2:$D$114),SUMIF(INGREDIENTI!$B$2:$B$114,H108,INGREDIENTI!$D$2:$D$114),SUMIF(INGREDIENTI!$B$2:$B$114,I108,INGREDIENTI!$D$2:$D$114),SUMIF(INGREDIENTI!$B$2:$B$114,J108,INGREDIENTI!$D$2:$D$114),SUMIF(INGREDIENTI!$B$2:$B$114,K108,INGREDIENTI!$D$2:$D$114),SUMIF(INGREDIENTI!$B$2:$B$114,L108,INGREDIENTI!$D$2:$D$114))</f>
        <v>0</v>
      </c>
      <c r="C108" s="22" t="s">
        <v>30</v>
      </c>
      <c r="D108" s="23" t="s">
        <v>313</v>
      </c>
      <c r="E108" s="24" t="s">
        <v>28</v>
      </c>
      <c r="F108" s="24" t="s">
        <v>25</v>
      </c>
      <c r="G108" s="24" t="s">
        <v>314</v>
      </c>
      <c r="H108" s="24" t="s">
        <v>34</v>
      </c>
      <c r="I108" s="24" t="s">
        <v>274</v>
      </c>
      <c r="J108" s="24" t="s">
        <v>28</v>
      </c>
      <c r="K108" s="24" t="s">
        <v>28</v>
      </c>
      <c r="L108" s="24" t="s">
        <v>28</v>
      </c>
      <c r="M108" s="26" t="str">
        <f t="shared" si="1"/>
        <v/>
      </c>
      <c r="N108" s="27"/>
      <c r="O108" s="28">
        <f>SUMIF( 'TOTALI PIZZE'!A:A,D108,'TOTALI PIZZE'!B:B)</f>
        <v>1</v>
      </c>
      <c r="P108" s="29"/>
      <c r="Q108" s="30" t="str">
        <f>if(SUMIF(  'TOTALI PIZZE'!A:A,D108,'TOTALI PIZZE'!B:B)=0,"NEW","")</f>
        <v/>
      </c>
    </row>
    <row r="109" ht="15.75" customHeight="1">
      <c r="A109" s="38"/>
      <c r="B109" s="21">
        <f>MIN(SUMIF(INGREDIENTI!$B$2:$B$114,E109,INGREDIENTI!$D$2:$D$114),SUMIF(INGREDIENTI!$B$2:$B$114,F109,INGREDIENTI!$D$2:$D$114),SUMIF(INGREDIENTI!$B$2:$B$114,G109,INGREDIENTI!$D$2:$D$114),SUMIF(INGREDIENTI!$B$2:$B$114,H109,INGREDIENTI!$D$2:$D$114),SUMIF(INGREDIENTI!$B$2:$B$114,I109,INGREDIENTI!$D$2:$D$114),SUMIF(INGREDIENTI!$B$2:$B$114,J109,INGREDIENTI!$D$2:$D$114),SUMIF(INGREDIENTI!$B$2:$B$114,K109,INGREDIENTI!$D$2:$D$114),SUMIF(INGREDIENTI!$B$2:$B$114,L109,INGREDIENTI!$D$2:$D$114))</f>
        <v>0</v>
      </c>
      <c r="C109" s="22" t="s">
        <v>30</v>
      </c>
      <c r="D109" s="23" t="s">
        <v>315</v>
      </c>
      <c r="E109" s="24" t="s">
        <v>28</v>
      </c>
      <c r="F109" s="25" t="s">
        <v>25</v>
      </c>
      <c r="G109" s="24" t="s">
        <v>316</v>
      </c>
      <c r="H109" s="24" t="s">
        <v>48</v>
      </c>
      <c r="I109" s="24" t="s">
        <v>36</v>
      </c>
      <c r="J109" s="24" t="s">
        <v>28</v>
      </c>
      <c r="K109" s="24" t="s">
        <v>28</v>
      </c>
      <c r="L109" s="24" t="s">
        <v>28</v>
      </c>
      <c r="M109" s="26" t="str">
        <f t="shared" si="1"/>
        <v/>
      </c>
      <c r="N109" s="36"/>
      <c r="O109" s="28">
        <f>SUMIF( 'TOTALI PIZZE'!A:A,D109,'TOTALI PIZZE'!B:B)</f>
        <v>0</v>
      </c>
      <c r="P109" s="29"/>
      <c r="Q109" s="30" t="str">
        <f>if(SUMIF(  'TOTALI PIZZE'!A:A,D109,'TOTALI PIZZE'!B:B)=0,"NEW","")</f>
        <v>NEW</v>
      </c>
    </row>
    <row r="110" ht="15.75" customHeight="1">
      <c r="A110" s="38"/>
      <c r="B110" s="21">
        <f>MIN(SUMIF(INGREDIENTI!$B$2:$B$114,E110,INGREDIENTI!$D$2:$D$114),SUMIF(INGREDIENTI!$B$2:$B$114,F110,INGREDIENTI!$D$2:$D$114),SUMIF(INGREDIENTI!$B$2:$B$114,G110,INGREDIENTI!$D$2:$D$114),SUMIF(INGREDIENTI!$B$2:$B$114,H110,INGREDIENTI!$D$2:$D$114),SUMIF(INGREDIENTI!$B$2:$B$114,I110,INGREDIENTI!$D$2:$D$114),SUMIF(INGREDIENTI!$B$2:$B$114,J110,INGREDIENTI!$D$2:$D$114),SUMIF(INGREDIENTI!$B$2:$B$114,K110,INGREDIENTI!$D$2:$D$114),SUMIF(INGREDIENTI!$B$2:$B$114,L110,INGREDIENTI!$D$2:$D$114))</f>
        <v>0</v>
      </c>
      <c r="C110" s="22" t="s">
        <v>30</v>
      </c>
      <c r="D110" s="23" t="s">
        <v>317</v>
      </c>
      <c r="E110" s="24" t="s">
        <v>28</v>
      </c>
      <c r="F110" s="24" t="s">
        <v>28</v>
      </c>
      <c r="G110" s="24" t="s">
        <v>67</v>
      </c>
      <c r="H110" s="24" t="s">
        <v>40</v>
      </c>
      <c r="I110" s="24" t="s">
        <v>316</v>
      </c>
      <c r="J110" s="24" t="s">
        <v>119</v>
      </c>
      <c r="K110" s="24" t="s">
        <v>28</v>
      </c>
      <c r="L110" s="24" t="s">
        <v>28</v>
      </c>
      <c r="M110" s="26" t="str">
        <f t="shared" si="1"/>
        <v/>
      </c>
      <c r="N110" s="36"/>
      <c r="O110" s="28">
        <f>SUMIF( 'TOTALI PIZZE'!A:A,D110,'TOTALI PIZZE'!B:B)</f>
        <v>0</v>
      </c>
      <c r="P110" s="29"/>
      <c r="Q110" s="30" t="str">
        <f>if(SUMIF(  'TOTALI PIZZE'!A:A,D110,'TOTALI PIZZE'!B:B)=0,"NEW","")</f>
        <v>NEW</v>
      </c>
    </row>
    <row r="111" ht="15.75" customHeight="1">
      <c r="A111" s="39"/>
      <c r="B111" s="40"/>
      <c r="C111" s="41"/>
      <c r="D111" s="41"/>
      <c r="E111" s="2" t="s">
        <v>318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42"/>
      <c r="T111" s="42"/>
      <c r="U111" s="42"/>
      <c r="V111" s="42"/>
      <c r="W111" s="42"/>
    </row>
    <row r="112" ht="15.75" customHeight="1">
      <c r="A112" s="43">
        <f t="shared" ref="A112:B112" si="2">SUM(A4:A110)</f>
        <v>5</v>
      </c>
      <c r="B112" s="44">
        <f t="shared" si="2"/>
        <v>0</v>
      </c>
      <c r="M112" s="45"/>
      <c r="S112" s="42"/>
    </row>
    <row r="113" ht="15.75" customHeight="1">
      <c r="A113" s="43">
        <f t="shared" ref="A113:B113" si="3">COUNTIF(A4:A110,"&gt;0")</f>
        <v>5</v>
      </c>
      <c r="B113" s="43">
        <f t="shared" si="3"/>
        <v>0</v>
      </c>
    </row>
    <row r="114" ht="15.75" customHeight="1">
      <c r="B114" s="46"/>
    </row>
    <row r="115" ht="15.75" customHeight="1">
      <c r="B115" s="46"/>
    </row>
    <row r="116" ht="15.75" customHeight="1">
      <c r="B116" s="46"/>
    </row>
    <row r="117" ht="15.75" customHeight="1">
      <c r="B117" s="46"/>
    </row>
    <row r="118" ht="15.75" customHeight="1">
      <c r="B118" s="46"/>
    </row>
    <row r="119" ht="15.75" customHeight="1">
      <c r="B119" s="46"/>
    </row>
    <row r="120" ht="15.75" customHeight="1">
      <c r="B120" s="46"/>
    </row>
    <row r="121" ht="15.75" customHeight="1">
      <c r="B121" s="46"/>
    </row>
    <row r="122" ht="15.75" customHeight="1">
      <c r="B122" s="46"/>
    </row>
    <row r="123" ht="15.75" customHeight="1">
      <c r="B123" s="46"/>
    </row>
    <row r="124" ht="15.75" customHeight="1">
      <c r="B124" s="46"/>
    </row>
    <row r="125" ht="15.75" customHeight="1">
      <c r="B125" s="46"/>
    </row>
    <row r="126" ht="15.75" customHeight="1">
      <c r="B126" s="46"/>
    </row>
    <row r="127" ht="15.75" customHeight="1">
      <c r="B127" s="46"/>
    </row>
    <row r="128" ht="15.75" customHeight="1">
      <c r="B128" s="46"/>
    </row>
    <row r="129" ht="15.75" customHeight="1">
      <c r="B129" s="46"/>
    </row>
    <row r="130" ht="15.75" customHeight="1">
      <c r="B130" s="46"/>
    </row>
    <row r="131" ht="15.75" customHeight="1">
      <c r="B131" s="46"/>
    </row>
    <row r="132" ht="15.75" customHeight="1">
      <c r="B132" s="46"/>
    </row>
    <row r="133" ht="15.75" customHeight="1">
      <c r="B133" s="46"/>
    </row>
    <row r="134" ht="15.75" customHeight="1">
      <c r="B134" s="46"/>
    </row>
    <row r="135" ht="15.75" customHeight="1">
      <c r="B135" s="46"/>
    </row>
    <row r="136" ht="15.75" customHeight="1">
      <c r="B136" s="46"/>
    </row>
    <row r="137" ht="15.75" customHeight="1">
      <c r="B137" s="46"/>
    </row>
    <row r="138" ht="15.75" customHeight="1">
      <c r="B138" s="46"/>
    </row>
    <row r="139" ht="15.75" customHeight="1">
      <c r="B139" s="46"/>
    </row>
    <row r="140" ht="15.75" customHeight="1">
      <c r="B140" s="46"/>
    </row>
    <row r="141" ht="15.75" customHeight="1">
      <c r="B141" s="46"/>
    </row>
    <row r="142" ht="15.75" customHeight="1">
      <c r="B142" s="46"/>
    </row>
    <row r="143" ht="15.75" customHeight="1">
      <c r="B143" s="46"/>
    </row>
    <row r="144" ht="15.75" customHeight="1">
      <c r="B144" s="46"/>
    </row>
    <row r="145" ht="15.75" customHeight="1">
      <c r="B145" s="46"/>
    </row>
    <row r="146" ht="15.75" customHeight="1">
      <c r="B146" s="46"/>
    </row>
    <row r="147" ht="15.75" customHeight="1">
      <c r="B147" s="46"/>
    </row>
    <row r="148" ht="15.75" customHeight="1">
      <c r="B148" s="46"/>
    </row>
    <row r="149" ht="15.75" customHeight="1">
      <c r="B149" s="46"/>
    </row>
    <row r="150" ht="15.75" customHeight="1">
      <c r="B150" s="46"/>
    </row>
    <row r="151" ht="15.75" customHeight="1">
      <c r="B151" s="46"/>
    </row>
    <row r="152" ht="15.75" customHeight="1">
      <c r="B152" s="46"/>
    </row>
    <row r="153" ht="15.75" customHeight="1">
      <c r="B153" s="46"/>
    </row>
    <row r="154" ht="15.75" customHeight="1">
      <c r="B154" s="46"/>
    </row>
    <row r="155" ht="15.75" customHeight="1">
      <c r="B155" s="46"/>
    </row>
    <row r="156" ht="15.75" customHeight="1">
      <c r="B156" s="46"/>
    </row>
    <row r="157" ht="15.75" customHeight="1">
      <c r="B157" s="46"/>
    </row>
    <row r="158" ht="15.75" customHeight="1">
      <c r="B158" s="46"/>
    </row>
    <row r="159" ht="15.75" customHeight="1">
      <c r="B159" s="46"/>
    </row>
    <row r="160" ht="15.75" customHeight="1">
      <c r="B160" s="46"/>
    </row>
    <row r="161" ht="15.75" customHeight="1">
      <c r="B161" s="46"/>
    </row>
    <row r="162" ht="15.75" customHeight="1">
      <c r="B162" s="46"/>
    </row>
    <row r="163" ht="15.75" customHeight="1">
      <c r="B163" s="46"/>
    </row>
    <row r="164" ht="15.75" customHeight="1">
      <c r="B164" s="46"/>
    </row>
    <row r="165" ht="15.75" customHeight="1">
      <c r="B165" s="46"/>
    </row>
    <row r="166" ht="15.75" customHeight="1">
      <c r="B166" s="46"/>
    </row>
    <row r="167" ht="15.75" customHeight="1">
      <c r="B167" s="46"/>
    </row>
    <row r="168" ht="15.75" customHeight="1">
      <c r="B168" s="46"/>
    </row>
    <row r="169" ht="15.75" customHeight="1">
      <c r="B169" s="46"/>
    </row>
    <row r="170" ht="15.75" customHeight="1">
      <c r="B170" s="46"/>
    </row>
    <row r="171" ht="15.75" customHeight="1">
      <c r="B171" s="46"/>
    </row>
    <row r="172" ht="15.75" customHeight="1">
      <c r="B172" s="46"/>
    </row>
    <row r="173" ht="15.75" customHeight="1">
      <c r="B173" s="46"/>
    </row>
    <row r="174" ht="15.75" customHeight="1">
      <c r="B174" s="46"/>
    </row>
    <row r="175" ht="15.75" customHeight="1">
      <c r="B175" s="46"/>
    </row>
    <row r="176" ht="15.75" customHeight="1">
      <c r="B176" s="46"/>
    </row>
    <row r="177" ht="15.75" customHeight="1">
      <c r="B177" s="46"/>
    </row>
    <row r="178" ht="15.75" customHeight="1">
      <c r="B178" s="46"/>
    </row>
    <row r="179" ht="15.75" customHeight="1">
      <c r="B179" s="46"/>
    </row>
    <row r="180" ht="15.75" customHeight="1">
      <c r="B180" s="46"/>
    </row>
    <row r="181" ht="15.75" customHeight="1">
      <c r="B181" s="46"/>
    </row>
    <row r="182" ht="15.75" customHeight="1">
      <c r="B182" s="46"/>
    </row>
    <row r="183" ht="15.75" customHeight="1">
      <c r="B183" s="46"/>
    </row>
    <row r="184" ht="15.75" customHeight="1">
      <c r="B184" s="46"/>
    </row>
    <row r="185" ht="15.75" customHeight="1">
      <c r="B185" s="46"/>
    </row>
    <row r="186" ht="15.75" customHeight="1">
      <c r="B186" s="46"/>
    </row>
    <row r="187" ht="15.75" customHeight="1">
      <c r="B187" s="46"/>
    </row>
    <row r="188" ht="15.75" customHeight="1">
      <c r="B188" s="46"/>
    </row>
    <row r="189" ht="15.75" customHeight="1">
      <c r="B189" s="46"/>
    </row>
    <row r="190" ht="15.75" customHeight="1">
      <c r="B190" s="46"/>
    </row>
    <row r="191" ht="15.75" customHeight="1">
      <c r="B191" s="46"/>
    </row>
    <row r="192" ht="15.75" customHeight="1">
      <c r="B192" s="46"/>
    </row>
    <row r="193" ht="15.75" customHeight="1">
      <c r="B193" s="46"/>
    </row>
    <row r="194" ht="15.75" customHeight="1">
      <c r="B194" s="46"/>
    </row>
    <row r="195" ht="15.75" customHeight="1">
      <c r="B195" s="46"/>
    </row>
    <row r="196" ht="15.75" customHeight="1">
      <c r="B196" s="46"/>
    </row>
    <row r="197" ht="15.75" customHeight="1">
      <c r="B197" s="46"/>
    </row>
    <row r="198" ht="15.75" customHeight="1">
      <c r="B198" s="46"/>
    </row>
    <row r="199" ht="15.75" customHeight="1">
      <c r="B199" s="46"/>
    </row>
    <row r="200" ht="15.75" customHeight="1">
      <c r="B200" s="46"/>
    </row>
    <row r="201" ht="15.75" customHeight="1">
      <c r="B201" s="46"/>
    </row>
    <row r="202" ht="15.75" customHeight="1">
      <c r="B202" s="46"/>
    </row>
    <row r="203" ht="15.75" customHeight="1">
      <c r="B203" s="46"/>
    </row>
    <row r="204" ht="15.75" customHeight="1">
      <c r="B204" s="46"/>
    </row>
    <row r="205" ht="15.75" customHeight="1">
      <c r="B205" s="46"/>
    </row>
    <row r="206" ht="15.75" customHeight="1">
      <c r="B206" s="46"/>
    </row>
    <row r="207" ht="15.75" customHeight="1">
      <c r="B207" s="46"/>
    </row>
    <row r="208" ht="15.75" customHeight="1">
      <c r="B208" s="46"/>
    </row>
    <row r="209" ht="15.75" customHeight="1">
      <c r="B209" s="46"/>
    </row>
    <row r="210" ht="15.75" customHeight="1">
      <c r="B210" s="46"/>
    </row>
    <row r="211" ht="15.75" customHeight="1">
      <c r="B211" s="46"/>
    </row>
    <row r="212" ht="15.75" customHeight="1">
      <c r="B212" s="46"/>
    </row>
    <row r="213" ht="15.75" customHeight="1">
      <c r="B213" s="46"/>
    </row>
    <row r="214" ht="15.75" customHeight="1">
      <c r="B214" s="46"/>
    </row>
    <row r="215" ht="15.75" customHeight="1">
      <c r="B215" s="46"/>
    </row>
    <row r="216" ht="15.75" customHeight="1">
      <c r="B216" s="46"/>
    </row>
    <row r="217" ht="15.75" customHeight="1">
      <c r="B217" s="46"/>
    </row>
    <row r="218" ht="15.75" customHeight="1">
      <c r="B218" s="46"/>
    </row>
    <row r="219" ht="15.75" customHeight="1">
      <c r="B219" s="46"/>
    </row>
    <row r="220" ht="15.75" customHeight="1">
      <c r="B220" s="46"/>
    </row>
    <row r="221" ht="15.75" customHeight="1">
      <c r="B221" s="46"/>
    </row>
    <row r="222" ht="15.75" customHeight="1">
      <c r="B222" s="46"/>
    </row>
    <row r="223" ht="15.75" customHeight="1">
      <c r="B223" s="46"/>
    </row>
    <row r="224" ht="15.75" customHeight="1">
      <c r="B224" s="46"/>
    </row>
    <row r="225" ht="15.75" customHeight="1">
      <c r="B225" s="46"/>
    </row>
    <row r="226" ht="15.75" customHeight="1">
      <c r="B226" s="46"/>
    </row>
    <row r="227" ht="15.75" customHeight="1">
      <c r="B227" s="46"/>
    </row>
    <row r="228" ht="15.75" customHeight="1">
      <c r="B228" s="46"/>
    </row>
    <row r="229" ht="15.75" customHeight="1">
      <c r="B229" s="46"/>
    </row>
    <row r="230" ht="15.75" customHeight="1">
      <c r="B230" s="46"/>
    </row>
    <row r="231" ht="15.75" customHeight="1">
      <c r="B231" s="46"/>
    </row>
    <row r="232" ht="15.75" customHeight="1">
      <c r="B232" s="46"/>
    </row>
    <row r="233" ht="15.75" customHeight="1">
      <c r="B233" s="46"/>
    </row>
    <row r="234" ht="15.75" customHeight="1">
      <c r="B234" s="46"/>
    </row>
    <row r="235" ht="15.75" customHeight="1">
      <c r="B235" s="46"/>
    </row>
    <row r="236" ht="15.75" customHeight="1">
      <c r="B236" s="46"/>
    </row>
    <row r="237" ht="15.75" customHeight="1">
      <c r="B237" s="46"/>
    </row>
    <row r="238" ht="15.75" customHeight="1">
      <c r="B238" s="46"/>
    </row>
    <row r="239" ht="15.75" customHeight="1">
      <c r="B239" s="46"/>
    </row>
    <row r="240" ht="15.75" customHeight="1">
      <c r="B240" s="46"/>
    </row>
    <row r="241" ht="15.75" customHeight="1">
      <c r="B241" s="46"/>
    </row>
    <row r="242" ht="15.75" customHeight="1">
      <c r="B242" s="46"/>
    </row>
    <row r="243" ht="15.75" customHeight="1">
      <c r="B243" s="46"/>
    </row>
    <row r="244" ht="15.75" customHeight="1">
      <c r="B244" s="46"/>
    </row>
    <row r="245" ht="15.75" customHeight="1">
      <c r="B245" s="46"/>
    </row>
    <row r="246" ht="15.75" customHeight="1">
      <c r="B246" s="46"/>
    </row>
    <row r="247" ht="15.75" customHeight="1">
      <c r="B247" s="46"/>
    </row>
    <row r="248" ht="15.75" customHeight="1">
      <c r="B248" s="46"/>
    </row>
    <row r="249" ht="15.75" customHeight="1">
      <c r="B249" s="46"/>
    </row>
    <row r="250" ht="15.75" customHeight="1">
      <c r="B250" s="46"/>
    </row>
    <row r="251" ht="15.75" customHeight="1">
      <c r="B251" s="46"/>
    </row>
    <row r="252" ht="15.75" customHeight="1">
      <c r="B252" s="46"/>
    </row>
    <row r="253" ht="15.75" customHeight="1">
      <c r="B253" s="46"/>
    </row>
    <row r="254" ht="15.75" customHeight="1">
      <c r="B254" s="46"/>
    </row>
    <row r="255" ht="15.75" customHeight="1">
      <c r="B255" s="46"/>
    </row>
    <row r="256" ht="15.75" customHeight="1">
      <c r="B256" s="46"/>
    </row>
    <row r="257" ht="15.75" customHeight="1">
      <c r="B257" s="46"/>
    </row>
    <row r="258" ht="15.75" customHeight="1">
      <c r="B258" s="46"/>
    </row>
    <row r="259" ht="15.75" customHeight="1">
      <c r="B259" s="46"/>
    </row>
    <row r="260" ht="15.75" customHeight="1">
      <c r="B260" s="46"/>
    </row>
    <row r="261" ht="15.75" customHeight="1">
      <c r="B261" s="46"/>
    </row>
    <row r="262" ht="15.75" customHeight="1">
      <c r="B262" s="46"/>
    </row>
    <row r="263" ht="15.75" customHeight="1">
      <c r="B263" s="46"/>
    </row>
    <row r="264" ht="15.75" customHeight="1">
      <c r="B264" s="46"/>
    </row>
    <row r="265" ht="15.75" customHeight="1">
      <c r="B265" s="46"/>
    </row>
    <row r="266" ht="15.75" customHeight="1">
      <c r="B266" s="46"/>
    </row>
    <row r="267" ht="15.75" customHeight="1">
      <c r="B267" s="46"/>
    </row>
    <row r="268" ht="15.75" customHeight="1">
      <c r="B268" s="46"/>
    </row>
    <row r="269" ht="15.75" customHeight="1">
      <c r="B269" s="46"/>
    </row>
    <row r="270" ht="15.75" customHeight="1">
      <c r="B270" s="46"/>
    </row>
    <row r="271" ht="15.75" customHeight="1">
      <c r="B271" s="46"/>
    </row>
    <row r="272" ht="15.75" customHeight="1">
      <c r="B272" s="46"/>
    </row>
    <row r="273" ht="15.75" customHeight="1">
      <c r="B273" s="46"/>
    </row>
    <row r="274" ht="15.75" customHeight="1">
      <c r="B274" s="46"/>
    </row>
    <row r="275" ht="15.75" customHeight="1">
      <c r="B275" s="46"/>
    </row>
    <row r="276" ht="15.75" customHeight="1">
      <c r="B276" s="46"/>
    </row>
    <row r="277" ht="15.75" customHeight="1">
      <c r="B277" s="46"/>
    </row>
    <row r="278" ht="15.75" customHeight="1">
      <c r="B278" s="46"/>
    </row>
    <row r="279" ht="15.75" customHeight="1">
      <c r="B279" s="46"/>
    </row>
    <row r="280" ht="15.75" customHeight="1">
      <c r="B280" s="46"/>
    </row>
    <row r="281" ht="15.75" customHeight="1">
      <c r="B281" s="46"/>
    </row>
    <row r="282" ht="15.75" customHeight="1">
      <c r="B282" s="46"/>
    </row>
    <row r="283" ht="15.75" customHeight="1">
      <c r="B283" s="46"/>
    </row>
    <row r="284" ht="15.75" customHeight="1">
      <c r="B284" s="46"/>
    </row>
    <row r="285" ht="15.75" customHeight="1">
      <c r="B285" s="46"/>
    </row>
    <row r="286" ht="15.75" customHeight="1">
      <c r="B286" s="46"/>
    </row>
    <row r="287" ht="15.75" customHeight="1">
      <c r="B287" s="46"/>
    </row>
    <row r="288" ht="15.75" customHeight="1">
      <c r="B288" s="46"/>
    </row>
    <row r="289" ht="15.75" customHeight="1">
      <c r="B289" s="46"/>
    </row>
    <row r="290" ht="15.75" customHeight="1">
      <c r="B290" s="46"/>
    </row>
    <row r="291" ht="15.75" customHeight="1">
      <c r="B291" s="46"/>
    </row>
    <row r="292" ht="15.75" customHeight="1">
      <c r="B292" s="46"/>
    </row>
    <row r="293" ht="15.75" customHeight="1">
      <c r="B293" s="46"/>
    </row>
    <row r="294" ht="15.75" customHeight="1">
      <c r="B294" s="46"/>
    </row>
    <row r="295" ht="15.75" customHeight="1">
      <c r="B295" s="46"/>
    </row>
    <row r="296" ht="15.75" customHeight="1">
      <c r="B296" s="46"/>
    </row>
    <row r="297" ht="15.75" customHeight="1">
      <c r="B297" s="46"/>
    </row>
    <row r="298" ht="15.75" customHeight="1">
      <c r="B298" s="46"/>
    </row>
    <row r="299" ht="15.75" customHeight="1">
      <c r="B299" s="46"/>
    </row>
    <row r="300" ht="15.75" customHeight="1">
      <c r="B300" s="46"/>
    </row>
    <row r="301" ht="15.75" customHeight="1">
      <c r="B301" s="46"/>
    </row>
    <row r="302" ht="15.75" customHeight="1">
      <c r="B302" s="46"/>
    </row>
    <row r="303" ht="15.75" customHeight="1">
      <c r="B303" s="46"/>
    </row>
    <row r="304" ht="15.75" customHeight="1">
      <c r="B304" s="46"/>
    </row>
    <row r="305" ht="15.75" customHeight="1">
      <c r="B305" s="46"/>
    </row>
    <row r="306" ht="15.75" customHeight="1">
      <c r="B306" s="46"/>
    </row>
    <row r="307" ht="15.75" customHeight="1">
      <c r="B307" s="46"/>
    </row>
    <row r="308" ht="15.75" customHeight="1">
      <c r="B308" s="46"/>
    </row>
    <row r="309" ht="15.75" customHeight="1">
      <c r="B309" s="46"/>
    </row>
    <row r="310" ht="15.75" customHeight="1">
      <c r="B310" s="46"/>
    </row>
    <row r="311" ht="15.75" customHeight="1">
      <c r="B311" s="46"/>
    </row>
    <row r="312" ht="15.75" customHeight="1">
      <c r="B312" s="46"/>
    </row>
    <row r="313" ht="15.75" customHeight="1">
      <c r="B313" s="46"/>
    </row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</sheetData>
  <mergeCells count="4">
    <mergeCell ref="U1:U2"/>
    <mergeCell ref="W1:W2"/>
    <mergeCell ref="Y1:Y2"/>
    <mergeCell ref="AA1:AA2"/>
  </mergeCells>
  <conditionalFormatting sqref="B4:B110">
    <cfRule type="cellIs" dxfId="5" priority="1" operator="greaterThan">
      <formula>0</formula>
    </cfRule>
  </conditionalFormatting>
  <conditionalFormatting sqref="E4:L110">
    <cfRule type="cellIs" dxfId="5" priority="2" operator="equal">
      <formula>$S$2</formula>
    </cfRule>
  </conditionalFormatting>
  <conditionalFormatting sqref="D4:D110">
    <cfRule type="expression" dxfId="6" priority="3">
      <formula>$A4&gt;0</formula>
    </cfRule>
  </conditionalFormatting>
  <conditionalFormatting sqref="M4:M110">
    <cfRule type="notContainsBlanks" dxfId="5" priority="4">
      <formula>LEN(TRIM(M4))&gt;0</formula>
    </cfRule>
  </conditionalFormatting>
  <dataValidations>
    <dataValidation type="list" allowBlank="1" showErrorMessage="1" sqref="S2">
      <formula1>INGREDIENTI!$B$2:$B$141</formula1>
    </dataValidation>
    <dataValidation type="list" allowBlank="1" showErrorMessage="1" sqref="A4:A110 E4:L110">
      <formula1>#REF!</formula1>
    </dataValidation>
    <dataValidation type="custom" allowBlank="1" showDropDown="1" sqref="B4:B110">
      <formula1>AND(ISNUMBER(B4),(NOT(OR(NOT(ISERROR(DATEVALUE(B4))), AND(ISNUMBER(B4), LEFT(CELL("format", B4))="D")))))</formula1>
    </dataValidation>
    <dataValidation type="list" allowBlank="1" showErrorMessage="1" sqref="N4:N110">
      <formula1>#REF!</formula1>
    </dataValidation>
  </dataValidations>
  <printOptions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25"/>
    <col customWidth="1" min="2" max="2" width="24.25"/>
    <col customWidth="1" min="3" max="3" width="13.13"/>
    <col customWidth="1" min="4" max="4" width="17.5"/>
    <col customWidth="1" min="5" max="5" width="7.25"/>
    <col customWidth="1" min="6" max="6" width="14.0"/>
    <col customWidth="1" min="7" max="7" width="15.75"/>
    <col customWidth="1" min="8" max="8" width="12.5"/>
    <col customWidth="1" min="9" max="9" width="57.75"/>
    <col customWidth="1" min="10" max="10" width="2.75"/>
    <col customWidth="1" min="11" max="11" width="9.38"/>
    <col customWidth="1" min="12" max="29" width="12.63"/>
  </cols>
  <sheetData>
    <row r="1" ht="77.25" customHeight="1">
      <c r="A1" s="47" t="s">
        <v>7</v>
      </c>
      <c r="B1" s="47" t="s">
        <v>319</v>
      </c>
      <c r="C1" s="48" t="s">
        <v>320</v>
      </c>
      <c r="D1" s="49" t="s">
        <v>321</v>
      </c>
      <c r="E1" s="50" t="s">
        <v>322</v>
      </c>
      <c r="F1" s="48" t="s">
        <v>323</v>
      </c>
      <c r="G1" s="48" t="s">
        <v>324</v>
      </c>
      <c r="H1" s="49" t="s">
        <v>325</v>
      </c>
      <c r="I1" s="51" t="s">
        <v>326</v>
      </c>
      <c r="K1" s="52" t="s">
        <v>327</v>
      </c>
    </row>
    <row r="2" ht="15.75" hidden="1" customHeight="1">
      <c r="A2" s="53" t="s">
        <v>328</v>
      </c>
      <c r="B2" s="54" t="s">
        <v>28</v>
      </c>
      <c r="C2" s="55"/>
      <c r="D2" s="56">
        <v>1000.0</v>
      </c>
      <c r="E2" s="57"/>
      <c r="F2" s="58"/>
      <c r="G2" s="55"/>
      <c r="H2" s="59"/>
      <c r="I2" s="59"/>
    </row>
    <row r="3" ht="15.0" customHeight="1">
      <c r="A3" s="53" t="s">
        <v>329</v>
      </c>
      <c r="B3" s="54" t="s">
        <v>24</v>
      </c>
      <c r="C3" s="55">
        <f>SUMIF('MENU PIZZE'!$E$4:$E$110,B3,'MENU PIZZE'!$A$4:$A$110)+SUMIF('MENU PIZZE'!$F$4:$F$110,B3,'MENU PIZZE'!$A$4:$A$110)+SUMIF('MENU PIZZE'!$G$4:$G$110,B3,'MENU PIZZE'!$A$4:$A$110)+SUMIF('MENU PIZZE'!$H$4:$H$110,B3,'MENU PIZZE'!$A$4:$A$110)+SUMIF('MENU PIZZE'!$I$4:$I$110,B3,'MENU PIZZE'!$A$4:$A$110)+SUMIF('MENU PIZZE'!$J$4:$J$110,B3,'MENU PIZZE'!$A$4:$A$110)+SUMIF('MENU PIZZE'!$K$4:$K$110,B3,'MENU PIZZE'!$A$4:$A$110)+SUMIF('MENU PIZZE'!$L$4:$L$110,B3,'MENU PIZZE'!$A$4:$A$110)</f>
        <v>2</v>
      </c>
      <c r="D3" s="60"/>
      <c r="E3" s="57" t="str">
        <f t="shared" ref="E3:E141" si="1">if(AND(D3&gt;0,D3=C3), "SI","")</f>
        <v/>
      </c>
      <c r="F3" s="58" t="str">
        <f t="shared" ref="F3:F141" si="2">IF(G3&gt;0,"SI","")</f>
        <v>SI</v>
      </c>
      <c r="G3" s="55">
        <f t="shared" ref="G3:G141" si="3">Max(C3-D3,0)</f>
        <v>2</v>
      </c>
      <c r="H3" s="59">
        <f>countif('MENU PIZZE'!$E$4:$L$110,B3)</f>
        <v>49</v>
      </c>
      <c r="I3" s="26" t="str">
        <f>IFERROR(VLOOKUP(B3,'Ricette dei preparati'!B:D,3,FALSE),"")</f>
        <v/>
      </c>
    </row>
    <row r="4" ht="15.0" customHeight="1">
      <c r="A4" s="53" t="s">
        <v>330</v>
      </c>
      <c r="B4" s="54" t="s">
        <v>25</v>
      </c>
      <c r="C4" s="55">
        <f>SUMIF('MENU PIZZE'!$E$4:$E$110,B4,'MENU PIZZE'!$A$4:$A$110)+SUMIF('MENU PIZZE'!$F$4:$F$110,B4,'MENU PIZZE'!$A$4:$A$110)+SUMIF('MENU PIZZE'!$G$4:$G$110,B4,'MENU PIZZE'!$A$4:$A$110)+SUMIF('MENU PIZZE'!$H$4:$H$110,B4,'MENU PIZZE'!$A$4:$A$110)+SUMIF('MENU PIZZE'!$I$4:$I$110,B4,'MENU PIZZE'!$A$4:$A$110)+SUMIF('MENU PIZZE'!$J$4:$J$110,B4,'MENU PIZZE'!$A$4:$A$110)+SUMIF('MENU PIZZE'!$K$4:$K$110,B4,'MENU PIZZE'!$A$4:$A$110)+SUMIF('MENU PIZZE'!$L$4:$L$110,B4,'MENU PIZZE'!$A$4:$A$110)</f>
        <v>4</v>
      </c>
      <c r="D4" s="20"/>
      <c r="E4" s="57" t="str">
        <f t="shared" si="1"/>
        <v/>
      </c>
      <c r="F4" s="58" t="str">
        <f t="shared" si="2"/>
        <v>SI</v>
      </c>
      <c r="G4" s="55">
        <f t="shared" si="3"/>
        <v>4</v>
      </c>
      <c r="H4" s="59">
        <f>countif('MENU PIZZE'!$E$4:$L$110,B4)</f>
        <v>65</v>
      </c>
      <c r="I4" s="26" t="str">
        <f>IFERROR(VLOOKUP(B4,'Ricette dei preparati'!B:D,3,FALSE),"")</f>
        <v/>
      </c>
    </row>
    <row r="5" ht="15.0" customHeight="1">
      <c r="A5" s="53" t="s">
        <v>331</v>
      </c>
      <c r="B5" s="54" t="s">
        <v>40</v>
      </c>
      <c r="C5" s="55">
        <f>SUMIF('MENU PIZZE'!$E$4:$E$110,B5,'MENU PIZZE'!$A$4:$A$110)+SUMIF('MENU PIZZE'!$F$4:$F$110,B5,'MENU PIZZE'!$A$4:$A$110)+SUMIF('MENU PIZZE'!$G$4:$G$110,B5,'MENU PIZZE'!$A$4:$A$110)+SUMIF('MENU PIZZE'!$H$4:$H$110,B5,'MENU PIZZE'!$A$4:$A$110)+SUMIF('MENU PIZZE'!$I$4:$I$110,B5,'MENU PIZZE'!$A$4:$A$110)+SUMIF('MENU PIZZE'!$J$4:$J$110,B5,'MENU PIZZE'!$A$4:$A$110)+SUMIF('MENU PIZZE'!$K$4:$K$110,B5,'MENU PIZZE'!$A$4:$A$110)+SUMIF('MENU PIZZE'!$L$4:$L$110,B5,'MENU PIZZE'!$A$4:$A$110)</f>
        <v>1</v>
      </c>
      <c r="D5" s="20"/>
      <c r="E5" s="57" t="str">
        <f t="shared" si="1"/>
        <v/>
      </c>
      <c r="F5" s="58" t="str">
        <f t="shared" si="2"/>
        <v>SI</v>
      </c>
      <c r="G5" s="55">
        <f t="shared" si="3"/>
        <v>1</v>
      </c>
      <c r="H5" s="59">
        <f>countif('MENU PIZZE'!$E$4:$L$110,B5)</f>
        <v>10</v>
      </c>
      <c r="I5" s="26" t="str">
        <f>IFERROR(VLOOKUP(B5,'Ricette dei preparati'!B:D,3,FALSE),"")</f>
        <v/>
      </c>
    </row>
    <row r="6" ht="15.75" customHeight="1">
      <c r="A6" s="53" t="s">
        <v>331</v>
      </c>
      <c r="B6" s="54" t="s">
        <v>26</v>
      </c>
      <c r="C6" s="55">
        <f>SUMIF('MENU PIZZE'!$E$4:$E$110,B6,'MENU PIZZE'!$A$4:$A$110)+SUMIF('MENU PIZZE'!$F$4:$F$110,B6,'MENU PIZZE'!$A$4:$A$110)+SUMIF('MENU PIZZE'!$G$4:$G$110,B6,'MENU PIZZE'!$A$4:$A$110)+SUMIF('MENU PIZZE'!$H$4:$H$110,B6,'MENU PIZZE'!$A$4:$A$110)+SUMIF('MENU PIZZE'!$I$4:$I$110,B6,'MENU PIZZE'!$A$4:$A$110)+SUMIF('MENU PIZZE'!$J$4:$J$110,B6,'MENU PIZZE'!$A$4:$A$110)+SUMIF('MENU PIZZE'!$K$4:$K$110,B6,'MENU PIZZE'!$A$4:$A$110)+SUMIF('MENU PIZZE'!$L$4:$L$110,B6,'MENU PIZZE'!$A$4:$A$110)</f>
        <v>4</v>
      </c>
      <c r="D6" s="20"/>
      <c r="E6" s="57" t="str">
        <f t="shared" si="1"/>
        <v/>
      </c>
      <c r="F6" s="58" t="str">
        <f t="shared" si="2"/>
        <v>SI</v>
      </c>
      <c r="G6" s="55">
        <f t="shared" si="3"/>
        <v>4</v>
      </c>
      <c r="H6" s="59">
        <f>countif('MENU PIZZE'!$E$4:$L$110,B6)</f>
        <v>15</v>
      </c>
      <c r="I6" s="26" t="str">
        <f>IFERROR(VLOOKUP(B6,'Ricette dei preparati'!B:D,3,FALSE),"")</f>
        <v/>
      </c>
    </row>
    <row r="7" ht="15.75" customHeight="1">
      <c r="A7" s="53" t="s">
        <v>331</v>
      </c>
      <c r="B7" s="54" t="s">
        <v>39</v>
      </c>
      <c r="C7" s="55">
        <f>SUMIF('MENU PIZZE'!$E$4:$E$110,B7,'MENU PIZZE'!$A$4:$A$110)+SUMIF('MENU PIZZE'!$F$4:$F$110,B7,'MENU PIZZE'!$A$4:$A$110)+SUMIF('MENU PIZZE'!$G$4:$G$110,B7,'MENU PIZZE'!$A$4:$A$110)+SUMIF('MENU PIZZE'!$H$4:$H$110,B7,'MENU PIZZE'!$A$4:$A$110)+SUMIF('MENU PIZZE'!$I$4:$I$110,B7,'MENU PIZZE'!$A$4:$A$110)+SUMIF('MENU PIZZE'!$J$4:$J$110,B7,'MENU PIZZE'!$A$4:$A$110)+SUMIF('MENU PIZZE'!$K$4:$K$110,B7,'MENU PIZZE'!$A$4:$A$110)+SUMIF('MENU PIZZE'!$L$4:$L$110,B7,'MENU PIZZE'!$A$4:$A$110)</f>
        <v>1</v>
      </c>
      <c r="D7" s="20"/>
      <c r="E7" s="57" t="str">
        <f t="shared" si="1"/>
        <v/>
      </c>
      <c r="F7" s="58" t="str">
        <f t="shared" si="2"/>
        <v>SI</v>
      </c>
      <c r="G7" s="55">
        <f t="shared" si="3"/>
        <v>1</v>
      </c>
      <c r="H7" s="59">
        <f>countif('MENU PIZZE'!$E$4:$L$110,B7)</f>
        <v>4</v>
      </c>
      <c r="I7" s="26" t="str">
        <f>IFERROR(VLOOKUP(B7,'Ricette dei preparati'!B:D,3,FALSE),"")</f>
        <v/>
      </c>
    </row>
    <row r="8" ht="15.75" customHeight="1">
      <c r="A8" s="53" t="s">
        <v>331</v>
      </c>
      <c r="B8" s="54" t="s">
        <v>34</v>
      </c>
      <c r="C8" s="55">
        <f>SUMIF('MENU PIZZE'!$E$4:$E$110,B8,'MENU PIZZE'!$A$4:$A$110)+SUMIF('MENU PIZZE'!$F$4:$F$110,B8,'MENU PIZZE'!$A$4:$A$110)+SUMIF('MENU PIZZE'!$G$4:$G$110,B8,'MENU PIZZE'!$A$4:$A$110)+SUMIF('MENU PIZZE'!$H$4:$H$110,B8,'MENU PIZZE'!$A$4:$A$110)+SUMIF('MENU PIZZE'!$I$4:$I$110,B8,'MENU PIZZE'!$A$4:$A$110)+SUMIF('MENU PIZZE'!$J$4:$J$110,B8,'MENU PIZZE'!$A$4:$A$110)+SUMIF('MENU PIZZE'!$K$4:$K$110,B8,'MENU PIZZE'!$A$4:$A$110)+SUMIF('MENU PIZZE'!$L$4:$L$110,B8,'MENU PIZZE'!$A$4:$A$110)</f>
        <v>2</v>
      </c>
      <c r="D8" s="20"/>
      <c r="E8" s="57" t="str">
        <f t="shared" si="1"/>
        <v/>
      </c>
      <c r="F8" s="58" t="str">
        <f t="shared" si="2"/>
        <v>SI</v>
      </c>
      <c r="G8" s="55">
        <f t="shared" si="3"/>
        <v>2</v>
      </c>
      <c r="H8" s="59">
        <f>countif('MENU PIZZE'!$E$4:$L$110,B8)</f>
        <v>16</v>
      </c>
      <c r="I8" s="26" t="str">
        <f>IFERROR(VLOOKUP(B8,'Ricette dei preparati'!B:D,3,FALSE),"")</f>
        <v/>
      </c>
    </row>
    <row r="9" ht="15.75" customHeight="1">
      <c r="A9" s="61" t="s">
        <v>332</v>
      </c>
      <c r="B9" s="62" t="s">
        <v>33</v>
      </c>
      <c r="C9" s="55">
        <f>SUMIF('MENU PIZZE'!$E$4:$E$110,B9,'MENU PIZZE'!$A$4:$A$110)+SUMIF('MENU PIZZE'!$F$4:$F$110,B9,'MENU PIZZE'!$A$4:$A$110)+SUMIF('MENU PIZZE'!$G$4:$G$110,B9,'MENU PIZZE'!$A$4:$A$110)+SUMIF('MENU PIZZE'!$H$4:$H$110,B9,'MENU PIZZE'!$A$4:$A$110)+SUMIF('MENU PIZZE'!$I$4:$I$110,B9,'MENU PIZZE'!$A$4:$A$110)+SUMIF('MENU PIZZE'!$J$4:$J$110,B9,'MENU PIZZE'!$A$4:$A$110)+SUMIF('MENU PIZZE'!$K$4:$K$110,B9,'MENU PIZZE'!$A$4:$A$110)+SUMIF('MENU PIZZE'!$L$4:$L$110,B9,'MENU PIZZE'!$A$4:$A$110)</f>
        <v>1</v>
      </c>
      <c r="D9" s="20"/>
      <c r="E9" s="57" t="str">
        <f t="shared" si="1"/>
        <v/>
      </c>
      <c r="F9" s="58" t="str">
        <f t="shared" si="2"/>
        <v>SI</v>
      </c>
      <c r="G9" s="55">
        <f t="shared" si="3"/>
        <v>1</v>
      </c>
      <c r="H9" s="59">
        <f>countif('MENU PIZZE'!$E$4:$L$110,B9)</f>
        <v>3</v>
      </c>
      <c r="I9" s="26" t="str">
        <f>IFERROR(VLOOKUP(B9,'Ricette dei preparati'!B:D,3,FALSE),"")</f>
        <v/>
      </c>
    </row>
    <row r="10" ht="15.75" customHeight="1">
      <c r="A10" s="53" t="s">
        <v>333</v>
      </c>
      <c r="B10" s="54" t="s">
        <v>27</v>
      </c>
      <c r="C10" s="55">
        <f>SUMIF('MENU PIZZE'!$E$4:$E$110,B10,'MENU PIZZE'!$A$4:$A$110)+SUMIF('MENU PIZZE'!$F$4:$F$110,B10,'MENU PIZZE'!$A$4:$A$110)+SUMIF('MENU PIZZE'!$G$4:$G$110,B10,'MENU PIZZE'!$A$4:$A$110)+SUMIF('MENU PIZZE'!$H$4:$H$110,B10,'MENU PIZZE'!$A$4:$A$110)+SUMIF('MENU PIZZE'!$I$4:$I$110,B10,'MENU PIZZE'!$A$4:$A$110)+SUMIF('MENU PIZZE'!$J$4:$J$110,B10,'MENU PIZZE'!$A$4:$A$110)+SUMIF('MENU PIZZE'!$K$4:$K$110,B10,'MENU PIZZE'!$A$4:$A$110)+SUMIF('MENU PIZZE'!$L$4:$L$110,B10,'MENU PIZZE'!$A$4:$A$110)</f>
        <v>2</v>
      </c>
      <c r="D10" s="20"/>
      <c r="E10" s="57" t="str">
        <f t="shared" si="1"/>
        <v/>
      </c>
      <c r="F10" s="58" t="str">
        <f t="shared" si="2"/>
        <v>SI</v>
      </c>
      <c r="G10" s="55">
        <f t="shared" si="3"/>
        <v>2</v>
      </c>
      <c r="H10" s="59">
        <f>countif('MENU PIZZE'!$E$4:$L$110,B10)</f>
        <v>12</v>
      </c>
      <c r="I10" s="26" t="str">
        <f>IFERROR(VLOOKUP(B10,'Ricette dei preparati'!B:D,3,FALSE),"")</f>
        <v/>
      </c>
    </row>
    <row r="11" ht="15.75" customHeight="1">
      <c r="A11" s="53" t="s">
        <v>333</v>
      </c>
      <c r="B11" s="54" t="s">
        <v>48</v>
      </c>
      <c r="C11" s="55">
        <f>SUMIF('MENU PIZZE'!$E$4:$E$110,B11,'MENU PIZZE'!$A$4:$A$110)+SUMIF('MENU PIZZE'!$F$4:$F$110,B11,'MENU PIZZE'!$A$4:$A$110)+SUMIF('MENU PIZZE'!$G$4:$G$110,B11,'MENU PIZZE'!$A$4:$A$110)+SUMIF('MENU PIZZE'!$H$4:$H$110,B11,'MENU PIZZE'!$A$4:$A$110)+SUMIF('MENU PIZZE'!$I$4:$I$110,B11,'MENU PIZZE'!$A$4:$A$110)+SUMIF('MENU PIZZE'!$J$4:$J$110,B11,'MENU PIZZE'!$A$4:$A$110)+SUMIF('MENU PIZZE'!$K$4:$K$110,B11,'MENU PIZZE'!$A$4:$A$110)+SUMIF('MENU PIZZE'!$L$4:$L$110,B11,'MENU PIZZE'!$A$4:$A$110)</f>
        <v>1</v>
      </c>
      <c r="D11" s="38"/>
      <c r="E11" s="57" t="str">
        <f t="shared" si="1"/>
        <v/>
      </c>
      <c r="F11" s="58" t="str">
        <f t="shared" si="2"/>
        <v>SI</v>
      </c>
      <c r="G11" s="55">
        <f t="shared" si="3"/>
        <v>1</v>
      </c>
      <c r="H11" s="59">
        <f>countif('MENU PIZZE'!$E$4:$L$110,B11)</f>
        <v>13</v>
      </c>
      <c r="I11" s="26" t="str">
        <f>IFERROR(VLOOKUP(B11,'Ricette dei preparati'!B:D,3,FALSE),"")</f>
        <v/>
      </c>
    </row>
    <row r="12" ht="15.75" customHeight="1">
      <c r="A12" s="53" t="s">
        <v>334</v>
      </c>
      <c r="B12" s="62" t="s">
        <v>42</v>
      </c>
      <c r="C12" s="55">
        <f>SUMIF('MENU PIZZE'!$E$4:$E$110,B12,'MENU PIZZE'!$A$4:$A$110)+SUMIF('MENU PIZZE'!$F$4:$F$110,B12,'MENU PIZZE'!$A$4:$A$110)+SUMIF('MENU PIZZE'!$G$4:$G$110,B12,'MENU PIZZE'!$A$4:$A$110)+SUMIF('MENU PIZZE'!$H$4:$H$110,B12,'MENU PIZZE'!$A$4:$A$110)+SUMIF('MENU PIZZE'!$I$4:$I$110,B12,'MENU PIZZE'!$A$4:$A$110)+SUMIF('MENU PIZZE'!$J$4:$J$110,B12,'MENU PIZZE'!$A$4:$A$110)+SUMIF('MENU PIZZE'!$K$4:$K$110,B12,'MENU PIZZE'!$A$4:$A$110)+SUMIF('MENU PIZZE'!$L$4:$L$110,B12,'MENU PIZZE'!$A$4:$A$110)</f>
        <v>1</v>
      </c>
      <c r="D12" s="60"/>
      <c r="E12" s="57" t="str">
        <f t="shared" si="1"/>
        <v/>
      </c>
      <c r="F12" s="58" t="str">
        <f t="shared" si="2"/>
        <v>SI</v>
      </c>
      <c r="G12" s="55">
        <f t="shared" si="3"/>
        <v>1</v>
      </c>
      <c r="H12" s="59">
        <f>countif('MENU PIZZE'!$E$4:$L$110,B12)</f>
        <v>1</v>
      </c>
      <c r="I12" s="26" t="str">
        <f>IFERROR(VLOOKUP(B12,'Ricette dei preparati'!B:D,3,FALSE),"")</f>
        <v/>
      </c>
    </row>
    <row r="13" ht="15.75" customHeight="1">
      <c r="A13" s="53" t="s">
        <v>334</v>
      </c>
      <c r="B13" s="54" t="s">
        <v>36</v>
      </c>
      <c r="C13" s="55">
        <f>SUMIF('MENU PIZZE'!$E$4:$E$110,B13,'MENU PIZZE'!$A$4:$A$110)+SUMIF('MENU PIZZE'!$F$4:$F$110,B13,'MENU PIZZE'!$A$4:$A$110)+SUMIF('MENU PIZZE'!$G$4:$G$110,B13,'MENU PIZZE'!$A$4:$A$110)+SUMIF('MENU PIZZE'!$H$4:$H$110,B13,'MENU PIZZE'!$A$4:$A$110)+SUMIF('MENU PIZZE'!$I$4:$I$110,B13,'MENU PIZZE'!$A$4:$A$110)+SUMIF('MENU PIZZE'!$J$4:$J$110,B13,'MENU PIZZE'!$A$4:$A$110)+SUMIF('MENU PIZZE'!$K$4:$K$110,B13,'MENU PIZZE'!$A$4:$A$110)+SUMIF('MENU PIZZE'!$L$4:$L$110,B13,'MENU PIZZE'!$A$4:$A$110)</f>
        <v>1</v>
      </c>
      <c r="D13" s="20"/>
      <c r="E13" s="57" t="str">
        <f t="shared" si="1"/>
        <v/>
      </c>
      <c r="F13" s="58" t="str">
        <f t="shared" si="2"/>
        <v>SI</v>
      </c>
      <c r="G13" s="55">
        <f t="shared" si="3"/>
        <v>1</v>
      </c>
      <c r="H13" s="59">
        <f>countif('MENU PIZZE'!$E$4:$L$110,B13)</f>
        <v>20</v>
      </c>
      <c r="I13" s="26" t="str">
        <f>IFERROR(VLOOKUP(B13,'Ricette dei preparati'!B:D,3,FALSE),"")</f>
        <v/>
      </c>
    </row>
    <row r="14" ht="15.75" customHeight="1">
      <c r="A14" s="53" t="s">
        <v>334</v>
      </c>
      <c r="B14" s="62" t="s">
        <v>50</v>
      </c>
      <c r="C14" s="55">
        <f>SUMIF('MENU PIZZE'!$E$4:$E$110,B14,'MENU PIZZE'!$A$4:$A$110)+SUMIF('MENU PIZZE'!$F$4:$F$110,B14,'MENU PIZZE'!$A$4:$A$110)+SUMIF('MENU PIZZE'!$G$4:$G$110,B14,'MENU PIZZE'!$A$4:$A$110)+SUMIF('MENU PIZZE'!$H$4:$H$110,B14,'MENU PIZZE'!$A$4:$A$110)+SUMIF('MENU PIZZE'!$I$4:$I$110,B14,'MENU PIZZE'!$A$4:$A$110)+SUMIF('MENU PIZZE'!$J$4:$J$110,B14,'MENU PIZZE'!$A$4:$A$110)+SUMIF('MENU PIZZE'!$K$4:$K$110,B14,'MENU PIZZE'!$A$4:$A$110)+SUMIF('MENU PIZZE'!$L$4:$L$110,B14,'MENU PIZZE'!$A$4:$A$110)</f>
        <v>1</v>
      </c>
      <c r="D14" s="38"/>
      <c r="E14" s="57" t="str">
        <f t="shared" si="1"/>
        <v/>
      </c>
      <c r="F14" s="58" t="str">
        <f t="shared" si="2"/>
        <v>SI</v>
      </c>
      <c r="G14" s="55">
        <f t="shared" si="3"/>
        <v>1</v>
      </c>
      <c r="H14" s="59">
        <f>countif('MENU PIZZE'!$E$4:$L$110,B14)</f>
        <v>2</v>
      </c>
      <c r="I14" s="26" t="str">
        <f>IFERROR(VLOOKUP(B14,'Ricette dei preparati'!B:D,3,FALSE),"")</f>
        <v/>
      </c>
    </row>
    <row r="15" ht="15.75" customHeight="1">
      <c r="A15" s="53" t="s">
        <v>334</v>
      </c>
      <c r="B15" s="54" t="s">
        <v>35</v>
      </c>
      <c r="C15" s="55">
        <f>SUMIF('MENU PIZZE'!$E$4:$E$110,B15,'MENU PIZZE'!$A$4:$A$110)+SUMIF('MENU PIZZE'!$F$4:$F$110,B15,'MENU PIZZE'!$A$4:$A$110)+SUMIF('MENU PIZZE'!$G$4:$G$110,B15,'MENU PIZZE'!$A$4:$A$110)+SUMIF('MENU PIZZE'!$H$4:$H$110,B15,'MENU PIZZE'!$A$4:$A$110)+SUMIF('MENU PIZZE'!$I$4:$I$110,B15,'MENU PIZZE'!$A$4:$A$110)+SUMIF('MENU PIZZE'!$J$4:$J$110,B15,'MENU PIZZE'!$A$4:$A$110)+SUMIF('MENU PIZZE'!$K$4:$K$110,B15,'MENU PIZZE'!$A$4:$A$110)+SUMIF('MENU PIZZE'!$L$4:$L$110,B15,'MENU PIZZE'!$A$4:$A$110)</f>
        <v>2</v>
      </c>
      <c r="D15" s="20"/>
      <c r="E15" s="57" t="str">
        <f t="shared" si="1"/>
        <v/>
      </c>
      <c r="F15" s="58" t="str">
        <f t="shared" si="2"/>
        <v>SI</v>
      </c>
      <c r="G15" s="55">
        <f t="shared" si="3"/>
        <v>2</v>
      </c>
      <c r="H15" s="59">
        <f>countif('MENU PIZZE'!$E$4:$L$110,B15)</f>
        <v>6</v>
      </c>
      <c r="I15" s="26" t="str">
        <f>IFERROR(VLOOKUP(B15,'Ricette dei preparati'!B:D,3,FALSE),"")</f>
        <v/>
      </c>
    </row>
    <row r="16" ht="15.75" customHeight="1">
      <c r="A16" s="53" t="s">
        <v>335</v>
      </c>
      <c r="B16" s="62" t="s">
        <v>49</v>
      </c>
      <c r="C16" s="55">
        <f>SUMIF('MENU PIZZE'!$E$4:$E$110,B16,'MENU PIZZE'!$A$4:$A$110)+SUMIF('MENU PIZZE'!$F$4:$F$110,B16,'MENU PIZZE'!$A$4:$A$110)+SUMIF('MENU PIZZE'!$G$4:$G$110,B16,'MENU PIZZE'!$A$4:$A$110)+SUMIF('MENU PIZZE'!$H$4:$H$110,B16,'MENU PIZZE'!$A$4:$A$110)+SUMIF('MENU PIZZE'!$I$4:$I$110,B16,'MENU PIZZE'!$A$4:$A$110)+SUMIF('MENU PIZZE'!$J$4:$J$110,B16,'MENU PIZZE'!$A$4:$A$110)+SUMIF('MENU PIZZE'!$K$4:$K$110,B16,'MENU PIZZE'!$A$4:$A$110)+SUMIF('MENU PIZZE'!$L$4:$L$110,B16,'MENU PIZZE'!$A$4:$A$110)</f>
        <v>1</v>
      </c>
      <c r="D16" s="20"/>
      <c r="E16" s="57" t="str">
        <f t="shared" si="1"/>
        <v/>
      </c>
      <c r="F16" s="58" t="str">
        <f t="shared" si="2"/>
        <v>SI</v>
      </c>
      <c r="G16" s="55">
        <f t="shared" si="3"/>
        <v>1</v>
      </c>
      <c r="H16" s="59">
        <f>countif('MENU PIZZE'!$E$4:$L$110,B16)</f>
        <v>3</v>
      </c>
      <c r="I16" s="26" t="str">
        <f>IFERROR(VLOOKUP(B16,'Ricette dei preparati'!B:D,3,FALSE),"")</f>
        <v>Aglio nero</v>
      </c>
    </row>
    <row r="17" ht="15.75" customHeight="1">
      <c r="A17" s="53" t="s">
        <v>335</v>
      </c>
      <c r="B17" s="62" t="s">
        <v>41</v>
      </c>
      <c r="C17" s="55">
        <f>SUMIF('MENU PIZZE'!$E$4:$E$110,B17,'MENU PIZZE'!$A$4:$A$110)+SUMIF('MENU PIZZE'!$F$4:$F$110,B17,'MENU PIZZE'!$A$4:$A$110)+SUMIF('MENU PIZZE'!$G$4:$G$110,B17,'MENU PIZZE'!$A$4:$A$110)+SUMIF('MENU PIZZE'!$H$4:$H$110,B17,'MENU PIZZE'!$A$4:$A$110)+SUMIF('MENU PIZZE'!$I$4:$I$110,B17,'MENU PIZZE'!$A$4:$A$110)+SUMIF('MENU PIZZE'!$J$4:$J$110,B17,'MENU PIZZE'!$A$4:$A$110)+SUMIF('MENU PIZZE'!$K$4:$K$110,B17,'MENU PIZZE'!$A$4:$A$110)+SUMIF('MENU PIZZE'!$L$4:$L$110,B17,'MENU PIZZE'!$A$4:$A$110)</f>
        <v>1</v>
      </c>
      <c r="D17" s="38"/>
      <c r="E17" s="57" t="str">
        <f t="shared" si="1"/>
        <v/>
      </c>
      <c r="F17" s="58" t="str">
        <f t="shared" si="2"/>
        <v>SI</v>
      </c>
      <c r="G17" s="55">
        <f t="shared" si="3"/>
        <v>1</v>
      </c>
      <c r="H17" s="59">
        <f>countif('MENU PIZZE'!$E$4:$L$110,B17)</f>
        <v>1</v>
      </c>
      <c r="I17" s="26" t="str">
        <f>IFERROR(VLOOKUP(B17,'Ricette dei preparati'!B:D,3,FALSE),"")</f>
        <v>Arancia, Limone, Zucchero, AgarAgar</v>
      </c>
    </row>
    <row r="18" ht="15.75" customHeight="1">
      <c r="A18" s="53" t="s">
        <v>335</v>
      </c>
      <c r="B18" s="62" t="s">
        <v>32</v>
      </c>
      <c r="C18" s="55">
        <f>SUMIF('MENU PIZZE'!$E$4:$E$110,B18,'MENU PIZZE'!$A$4:$A$110)+SUMIF('MENU PIZZE'!$F$4:$F$110,B18,'MENU PIZZE'!$A$4:$A$110)+SUMIF('MENU PIZZE'!$G$4:$G$110,B18,'MENU PIZZE'!$A$4:$A$110)+SUMIF('MENU PIZZE'!$H$4:$H$110,B18,'MENU PIZZE'!$A$4:$A$110)+SUMIF('MENU PIZZE'!$I$4:$I$110,B18,'MENU PIZZE'!$A$4:$A$110)+SUMIF('MENU PIZZE'!$J$4:$J$110,B18,'MENU PIZZE'!$A$4:$A$110)+SUMIF('MENU PIZZE'!$K$4:$K$110,B18,'MENU PIZZE'!$A$4:$A$110)+SUMIF('MENU PIZZE'!$L$4:$L$110,B18,'MENU PIZZE'!$A$4:$A$110)</f>
        <v>1</v>
      </c>
      <c r="D18" s="38"/>
      <c r="E18" s="57" t="str">
        <f t="shared" si="1"/>
        <v/>
      </c>
      <c r="F18" s="58" t="str">
        <f t="shared" si="2"/>
        <v>SI</v>
      </c>
      <c r="G18" s="55">
        <f t="shared" si="3"/>
        <v>1</v>
      </c>
      <c r="H18" s="59">
        <f>countif('MENU PIZZE'!$E$4:$L$110,B18)</f>
        <v>3</v>
      </c>
      <c r="I18" s="26" t="str">
        <f>IFERROR(VLOOKUP(B18,'Ricette dei preparati'!B:D,3,FALSE),"")</f>
        <v>Avocado, Lime</v>
      </c>
    </row>
    <row r="19" ht="15.75" customHeight="1">
      <c r="A19" s="53" t="s">
        <v>335</v>
      </c>
      <c r="B19" s="54" t="s">
        <v>45</v>
      </c>
      <c r="C19" s="55">
        <f>SUMIF('MENU PIZZE'!$E$4:$E$110,B19,'MENU PIZZE'!$A$4:$A$110)+SUMIF('MENU PIZZE'!$F$4:$F$110,B19,'MENU PIZZE'!$A$4:$A$110)+SUMIF('MENU PIZZE'!$G$4:$G$110,B19,'MENU PIZZE'!$A$4:$A$110)+SUMIF('MENU PIZZE'!$H$4:$H$110,B19,'MENU PIZZE'!$A$4:$A$110)+SUMIF('MENU PIZZE'!$I$4:$I$110,B19,'MENU PIZZE'!$A$4:$A$110)+SUMIF('MENU PIZZE'!$J$4:$J$110,B19,'MENU PIZZE'!$A$4:$A$110)+SUMIF('MENU PIZZE'!$K$4:$K$110,B19,'MENU PIZZE'!$A$4:$A$110)+SUMIF('MENU PIZZE'!$L$4:$L$110,B19,'MENU PIZZE'!$A$4:$A$110)</f>
        <v>1</v>
      </c>
      <c r="D19" s="38"/>
      <c r="E19" s="57" t="str">
        <f t="shared" si="1"/>
        <v/>
      </c>
      <c r="F19" s="58" t="str">
        <f t="shared" si="2"/>
        <v>SI</v>
      </c>
      <c r="G19" s="55">
        <f t="shared" si="3"/>
        <v>1</v>
      </c>
      <c r="H19" s="59">
        <f>countif('MENU PIZZE'!$E$4:$L$110,B19)</f>
        <v>2</v>
      </c>
      <c r="I19" s="26" t="str">
        <f>IFERROR(VLOOKUP(B19,'Ricette dei preparati'!B:D,3,FALSE),"")</f>
        <v>Pomodorini, Zucchero di canna, Worchester, Tabasco</v>
      </c>
    </row>
    <row r="20" ht="15.75" customHeight="1">
      <c r="A20" s="53" t="s">
        <v>329</v>
      </c>
      <c r="B20" s="62" t="s">
        <v>52</v>
      </c>
      <c r="C20" s="55">
        <f>SUMIF('MENU PIZZE'!$E$4:$E$110,B20,'MENU PIZZE'!$A$4:$A$110)+SUMIF('MENU PIZZE'!$F$4:$F$110,B20,'MENU PIZZE'!$A$4:$A$110)+SUMIF('MENU PIZZE'!$G$4:$G$110,B20,'MENU PIZZE'!$A$4:$A$110)+SUMIF('MENU PIZZE'!$H$4:$H$110,B20,'MENU PIZZE'!$A$4:$A$110)+SUMIF('MENU PIZZE'!$I$4:$I$110,B20,'MENU PIZZE'!$A$4:$A$110)+SUMIF('MENU PIZZE'!$J$4:$J$110,B20,'MENU PIZZE'!$A$4:$A$110)+SUMIF('MENU PIZZE'!$K$4:$K$110,B20,'MENU PIZZE'!$A$4:$A$110)+SUMIF('MENU PIZZE'!$L$4:$L$110,B20,'MENU PIZZE'!$A$4:$A$110)</f>
        <v>0</v>
      </c>
      <c r="D20" s="60"/>
      <c r="E20" s="57" t="str">
        <f t="shared" si="1"/>
        <v/>
      </c>
      <c r="F20" s="58" t="str">
        <f t="shared" si="2"/>
        <v/>
      </c>
      <c r="G20" s="55">
        <f t="shared" si="3"/>
        <v>0</v>
      </c>
      <c r="H20" s="59">
        <f>countif('MENU PIZZE'!$E$4:$L$110,B20)</f>
        <v>2</v>
      </c>
      <c r="I20" s="26" t="str">
        <f>IFERROR(VLOOKUP(B20,'Ricette dei preparati'!B:D,3,FALSE),"")</f>
        <v/>
      </c>
    </row>
    <row r="21" ht="15.75" customHeight="1">
      <c r="A21" s="53" t="s">
        <v>331</v>
      </c>
      <c r="B21" s="62" t="s">
        <v>90</v>
      </c>
      <c r="C21" s="55">
        <f>SUMIF('MENU PIZZE'!$E$4:$E$110,B21,'MENU PIZZE'!$A$4:$A$110)+SUMIF('MENU PIZZE'!$F$4:$F$110,B21,'MENU PIZZE'!$A$4:$A$110)+SUMIF('MENU PIZZE'!$G$4:$G$110,B21,'MENU PIZZE'!$A$4:$A$110)+SUMIF('MENU PIZZE'!$H$4:$H$110,B21,'MENU PIZZE'!$A$4:$A$110)+SUMIF('MENU PIZZE'!$I$4:$I$110,B21,'MENU PIZZE'!$A$4:$A$110)+SUMIF('MENU PIZZE'!$J$4:$J$110,B21,'MENU PIZZE'!$A$4:$A$110)+SUMIF('MENU PIZZE'!$K$4:$K$110,B21,'MENU PIZZE'!$A$4:$A$110)+SUMIF('MENU PIZZE'!$L$4:$L$110,B21,'MENU PIZZE'!$A$4:$A$110)</f>
        <v>0</v>
      </c>
      <c r="D21" s="63"/>
      <c r="E21" s="57" t="str">
        <f t="shared" si="1"/>
        <v/>
      </c>
      <c r="F21" s="58" t="str">
        <f t="shared" si="2"/>
        <v/>
      </c>
      <c r="G21" s="55">
        <f t="shared" si="3"/>
        <v>0</v>
      </c>
      <c r="H21" s="59">
        <f>countif('MENU PIZZE'!$E$4:$L$110,B21)</f>
        <v>1</v>
      </c>
      <c r="I21" s="26" t="str">
        <f>IFERROR(VLOOKUP(B21,'Ricette dei preparati'!B:D,3,FALSE),"")</f>
        <v/>
      </c>
    </row>
    <row r="22" ht="15.75" customHeight="1">
      <c r="A22" s="53" t="s">
        <v>331</v>
      </c>
      <c r="B22" s="54" t="s">
        <v>252</v>
      </c>
      <c r="C22" s="55">
        <f>SUMIF('MENU PIZZE'!$E$4:$E$110,B22,'MENU PIZZE'!$A$4:$A$110)+SUMIF('MENU PIZZE'!$F$4:$F$110,B22,'MENU PIZZE'!$A$4:$A$110)+SUMIF('MENU PIZZE'!$G$4:$G$110,B22,'MENU PIZZE'!$A$4:$A$110)+SUMIF('MENU PIZZE'!$H$4:$H$110,B22,'MENU PIZZE'!$A$4:$A$110)+SUMIF('MENU PIZZE'!$I$4:$I$110,B22,'MENU PIZZE'!$A$4:$A$110)+SUMIF('MENU PIZZE'!$J$4:$J$110,B22,'MENU PIZZE'!$A$4:$A$110)+SUMIF('MENU PIZZE'!$K$4:$K$110,B22,'MENU PIZZE'!$A$4:$A$110)+SUMIF('MENU PIZZE'!$L$4:$L$110,B22,'MENU PIZZE'!$A$4:$A$110)</f>
        <v>0</v>
      </c>
      <c r="D22" s="38"/>
      <c r="E22" s="57" t="str">
        <f t="shared" si="1"/>
        <v/>
      </c>
      <c r="F22" s="58" t="str">
        <f t="shared" si="2"/>
        <v/>
      </c>
      <c r="G22" s="55">
        <f t="shared" si="3"/>
        <v>0</v>
      </c>
      <c r="H22" s="59">
        <f>countif('MENU PIZZE'!$E$4:$L$110,B22)</f>
        <v>2</v>
      </c>
      <c r="I22" s="26" t="str">
        <f>IFERROR(VLOOKUP(B22,'Ricette dei preparati'!B:D,3,FALSE),"")</f>
        <v/>
      </c>
    </row>
    <row r="23" ht="15.75" customHeight="1">
      <c r="A23" s="53" t="s">
        <v>331</v>
      </c>
      <c r="B23" s="54" t="s">
        <v>141</v>
      </c>
      <c r="C23" s="55">
        <f>SUMIF('MENU PIZZE'!$E$4:$E$110,B23,'MENU PIZZE'!$A$4:$A$110)+SUMIF('MENU PIZZE'!$F$4:$F$110,B23,'MENU PIZZE'!$A$4:$A$110)+SUMIF('MENU PIZZE'!$G$4:$G$110,B23,'MENU PIZZE'!$A$4:$A$110)+SUMIF('MENU PIZZE'!$H$4:$H$110,B23,'MENU PIZZE'!$A$4:$A$110)+SUMIF('MENU PIZZE'!$I$4:$I$110,B23,'MENU PIZZE'!$A$4:$A$110)+SUMIF('MENU PIZZE'!$J$4:$J$110,B23,'MENU PIZZE'!$A$4:$A$110)+SUMIF('MENU PIZZE'!$K$4:$K$110,B23,'MENU PIZZE'!$A$4:$A$110)+SUMIF('MENU PIZZE'!$L$4:$L$110,B23,'MENU PIZZE'!$A$4:$A$110)</f>
        <v>0</v>
      </c>
      <c r="D23" s="38"/>
      <c r="E23" s="57" t="str">
        <f t="shared" si="1"/>
        <v/>
      </c>
      <c r="F23" s="58" t="str">
        <f t="shared" si="2"/>
        <v/>
      </c>
      <c r="G23" s="55">
        <f t="shared" si="3"/>
        <v>0</v>
      </c>
      <c r="H23" s="59">
        <f>countif('MENU PIZZE'!$E$4:$L$110,B23)</f>
        <v>7</v>
      </c>
      <c r="I23" s="26" t="str">
        <f>IFERROR(VLOOKUP(B23,'Ricette dei preparati'!B:D,3,FALSE),"")</f>
        <v/>
      </c>
    </row>
    <row r="24" ht="15.75" customHeight="1">
      <c r="A24" s="53" t="s">
        <v>331</v>
      </c>
      <c r="B24" s="54" t="s">
        <v>247</v>
      </c>
      <c r="C24" s="55">
        <f>SUMIF('MENU PIZZE'!$E$4:$E$110,B24,'MENU PIZZE'!$A$4:$A$110)+SUMIF('MENU PIZZE'!$F$4:$F$110,B24,'MENU PIZZE'!$A$4:$A$110)+SUMIF('MENU PIZZE'!$G$4:$G$110,B24,'MENU PIZZE'!$A$4:$A$110)+SUMIF('MENU PIZZE'!$H$4:$H$110,B24,'MENU PIZZE'!$A$4:$A$110)+SUMIF('MENU PIZZE'!$I$4:$I$110,B24,'MENU PIZZE'!$A$4:$A$110)+SUMIF('MENU PIZZE'!$J$4:$J$110,B24,'MENU PIZZE'!$A$4:$A$110)+SUMIF('MENU PIZZE'!$K$4:$K$110,B24,'MENU PIZZE'!$A$4:$A$110)+SUMIF('MENU PIZZE'!$L$4:$L$110,B24,'MENU PIZZE'!$A$4:$A$110)</f>
        <v>0</v>
      </c>
      <c r="D24" s="38"/>
      <c r="E24" s="57" t="str">
        <f t="shared" si="1"/>
        <v/>
      </c>
      <c r="F24" s="58" t="str">
        <f t="shared" si="2"/>
        <v/>
      </c>
      <c r="G24" s="55">
        <f t="shared" si="3"/>
        <v>0</v>
      </c>
      <c r="H24" s="59">
        <f>countif('MENU PIZZE'!$E$4:$L$110,B24)</f>
        <v>2</v>
      </c>
      <c r="I24" s="26" t="str">
        <f>IFERROR(VLOOKUP(B24,'Ricette dei preparati'!B:D,3,FALSE),"")</f>
        <v/>
      </c>
    </row>
    <row r="25" ht="15.75" customHeight="1">
      <c r="A25" s="53" t="s">
        <v>331</v>
      </c>
      <c r="B25" s="54" t="s">
        <v>294</v>
      </c>
      <c r="C25" s="55">
        <f>SUMIF('MENU PIZZE'!$E$4:$E$110,B25,'MENU PIZZE'!$A$4:$A$110)+SUMIF('MENU PIZZE'!$F$4:$F$110,B25,'MENU PIZZE'!$A$4:$A$110)+SUMIF('MENU PIZZE'!$G$4:$G$110,B25,'MENU PIZZE'!$A$4:$A$110)+SUMIF('MENU PIZZE'!$H$4:$H$110,B25,'MENU PIZZE'!$A$4:$A$110)+SUMIF('MENU PIZZE'!$I$4:$I$110,B25,'MENU PIZZE'!$A$4:$A$110)+SUMIF('MENU PIZZE'!$J$4:$J$110,B25,'MENU PIZZE'!$A$4:$A$110)+SUMIF('MENU PIZZE'!$K$4:$K$110,B25,'MENU PIZZE'!$A$4:$A$110)+SUMIF('MENU PIZZE'!$L$4:$L$110,B25,'MENU PIZZE'!$A$4:$A$110)</f>
        <v>0</v>
      </c>
      <c r="D25" s="38"/>
      <c r="E25" s="57" t="str">
        <f t="shared" si="1"/>
        <v/>
      </c>
      <c r="F25" s="58" t="str">
        <f t="shared" si="2"/>
        <v/>
      </c>
      <c r="G25" s="55">
        <f t="shared" si="3"/>
        <v>0</v>
      </c>
      <c r="H25" s="64">
        <f>COUNTIF('MENU PIZZE'!$E$4:$L$110,B25)</f>
        <v>2</v>
      </c>
      <c r="I25" s="26" t="str">
        <f>IFERROR(VLOOKUP(B25,'Ricette dei preparati'!B:D,3,FALSE),"")</f>
        <v/>
      </c>
    </row>
    <row r="26" ht="15.75" customHeight="1">
      <c r="A26" s="53" t="s">
        <v>331</v>
      </c>
      <c r="B26" s="54" t="s">
        <v>266</v>
      </c>
      <c r="C26" s="55">
        <f>SUMIF('MENU PIZZE'!$E$4:$E$110,B26,'MENU PIZZE'!$A$4:$A$110)+SUMIF('MENU PIZZE'!$F$4:$F$110,B26,'MENU PIZZE'!$A$4:$A$110)+SUMIF('MENU PIZZE'!$G$4:$G$110,B26,'MENU PIZZE'!$A$4:$A$110)+SUMIF('MENU PIZZE'!$H$4:$H$110,B26,'MENU PIZZE'!$A$4:$A$110)+SUMIF('MENU PIZZE'!$I$4:$I$110,B26,'MENU PIZZE'!$A$4:$A$110)+SUMIF('MENU PIZZE'!$J$4:$J$110,B26,'MENU PIZZE'!$A$4:$A$110)+SUMIF('MENU PIZZE'!$K$4:$K$110,B26,'MENU PIZZE'!$A$4:$A$110)+SUMIF('MENU PIZZE'!$L$4:$L$110,B26,'MENU PIZZE'!$A$4:$A$110)</f>
        <v>0</v>
      </c>
      <c r="D26" s="38"/>
      <c r="E26" s="57" t="str">
        <f t="shared" si="1"/>
        <v/>
      </c>
      <c r="F26" s="58" t="str">
        <f t="shared" si="2"/>
        <v/>
      </c>
      <c r="G26" s="55">
        <f t="shared" si="3"/>
        <v>0</v>
      </c>
      <c r="H26" s="59">
        <f>countif('MENU PIZZE'!$E$4:$L$110,B26)</f>
        <v>2</v>
      </c>
      <c r="I26" s="26" t="str">
        <f>IFERROR(VLOOKUP(B26,'Ricette dei preparati'!B:D,3,FALSE),"")</f>
        <v/>
      </c>
    </row>
    <row r="27" ht="15.75" customHeight="1">
      <c r="A27" s="53" t="s">
        <v>331</v>
      </c>
      <c r="B27" s="62" t="s">
        <v>85</v>
      </c>
      <c r="C27" s="55">
        <f>SUMIF('MENU PIZZE'!$E$4:$E$110,B27,'MENU PIZZE'!$A$4:$A$110)+SUMIF('MENU PIZZE'!$F$4:$F$110,B27,'MENU PIZZE'!$A$4:$A$110)+SUMIF('MENU PIZZE'!$G$4:$G$110,B27,'MENU PIZZE'!$A$4:$A$110)+SUMIF('MENU PIZZE'!$H$4:$H$110,B27,'MENU PIZZE'!$A$4:$A$110)+SUMIF('MENU PIZZE'!$I$4:$I$110,B27,'MENU PIZZE'!$A$4:$A$110)+SUMIF('MENU PIZZE'!$J$4:$J$110,B27,'MENU PIZZE'!$A$4:$A$110)+SUMIF('MENU PIZZE'!$K$4:$K$110,B27,'MENU PIZZE'!$A$4:$A$110)+SUMIF('MENU PIZZE'!$L$4:$L$110,B27,'MENU PIZZE'!$A$4:$A$110)</f>
        <v>0</v>
      </c>
      <c r="D27" s="63"/>
      <c r="E27" s="57" t="str">
        <f t="shared" si="1"/>
        <v/>
      </c>
      <c r="F27" s="58" t="str">
        <f t="shared" si="2"/>
        <v/>
      </c>
      <c r="G27" s="55">
        <f t="shared" si="3"/>
        <v>0</v>
      </c>
      <c r="H27" s="59">
        <f>countif('MENU PIZZE'!$E$4:$L$110,B27)</f>
        <v>1</v>
      </c>
      <c r="I27" s="26" t="str">
        <f>IFERROR(VLOOKUP(B27,'Ricette dei preparati'!B:D,3,FALSE),"")</f>
        <v/>
      </c>
    </row>
    <row r="28" ht="15.75" customHeight="1">
      <c r="A28" s="53" t="s">
        <v>331</v>
      </c>
      <c r="B28" s="62" t="s">
        <v>171</v>
      </c>
      <c r="C28" s="55">
        <f>SUMIF('MENU PIZZE'!$E$4:$E$110,B28,'MENU PIZZE'!$A$4:$A$110)+SUMIF('MENU PIZZE'!$F$4:$F$110,B28,'MENU PIZZE'!$A$4:$A$110)+SUMIF('MENU PIZZE'!$G$4:$G$110,B28,'MENU PIZZE'!$A$4:$A$110)+SUMIF('MENU PIZZE'!$H$4:$H$110,B28,'MENU PIZZE'!$A$4:$A$110)+SUMIF('MENU PIZZE'!$I$4:$I$110,B28,'MENU PIZZE'!$A$4:$A$110)+SUMIF('MENU PIZZE'!$J$4:$J$110,B28,'MENU PIZZE'!$A$4:$A$110)+SUMIF('MENU PIZZE'!$K$4:$K$110,B28,'MENU PIZZE'!$A$4:$A$110)+SUMIF('MENU PIZZE'!$L$4:$L$110,B28,'MENU PIZZE'!$A$4:$A$110)</f>
        <v>0</v>
      </c>
      <c r="D28" s="20"/>
      <c r="E28" s="57" t="str">
        <f t="shared" si="1"/>
        <v/>
      </c>
      <c r="F28" s="58" t="str">
        <f t="shared" si="2"/>
        <v/>
      </c>
      <c r="G28" s="55">
        <f t="shared" si="3"/>
        <v>0</v>
      </c>
      <c r="H28" s="59">
        <f>countif('MENU PIZZE'!$E$4:$L$110,B28)</f>
        <v>3</v>
      </c>
      <c r="I28" s="26" t="str">
        <f>IFERROR(VLOOKUP(B28,'Ricette dei preparati'!B:D,3,FALSE),"")</f>
        <v/>
      </c>
    </row>
    <row r="29" ht="15.75" customHeight="1">
      <c r="A29" s="53" t="s">
        <v>331</v>
      </c>
      <c r="B29" s="54" t="s">
        <v>117</v>
      </c>
      <c r="C29" s="55">
        <f>SUMIF('MENU PIZZE'!$E$4:$E$110,B29,'MENU PIZZE'!$A$4:$A$110)+SUMIF('MENU PIZZE'!$F$4:$F$110,B29,'MENU PIZZE'!$A$4:$A$110)+SUMIF('MENU PIZZE'!$G$4:$G$110,B29,'MENU PIZZE'!$A$4:$A$110)+SUMIF('MENU PIZZE'!$H$4:$H$110,B29,'MENU PIZZE'!$A$4:$A$110)+SUMIF('MENU PIZZE'!$I$4:$I$110,B29,'MENU PIZZE'!$A$4:$A$110)+SUMIF('MENU PIZZE'!$J$4:$J$110,B29,'MENU PIZZE'!$A$4:$A$110)+SUMIF('MENU PIZZE'!$K$4:$K$110,B29,'MENU PIZZE'!$A$4:$A$110)+SUMIF('MENU PIZZE'!$L$4:$L$110,B29,'MENU PIZZE'!$A$4:$A$110)</f>
        <v>0</v>
      </c>
      <c r="D29" s="20"/>
      <c r="E29" s="57" t="str">
        <f t="shared" si="1"/>
        <v/>
      </c>
      <c r="F29" s="58" t="str">
        <f t="shared" si="2"/>
        <v/>
      </c>
      <c r="G29" s="55">
        <f t="shared" si="3"/>
        <v>0</v>
      </c>
      <c r="H29" s="59">
        <f>countif('MENU PIZZE'!$E$4:$L$110,B29)</f>
        <v>16</v>
      </c>
      <c r="I29" s="26" t="str">
        <f>IFERROR(VLOOKUP(B29,'Ricette dei preparati'!B:D,3,FALSE),"")</f>
        <v/>
      </c>
    </row>
    <row r="30" ht="15.75" customHeight="1">
      <c r="A30" s="53" t="s">
        <v>331</v>
      </c>
      <c r="B30" s="54" t="s">
        <v>272</v>
      </c>
      <c r="C30" s="55">
        <f>SUMIF('MENU PIZZE'!$E$4:$E$110,B30,'MENU PIZZE'!$A$4:$A$110)+SUMIF('MENU PIZZE'!$F$4:$F$110,B30,'MENU PIZZE'!$A$4:$A$110)+SUMIF('MENU PIZZE'!$G$4:$G$110,B30,'MENU PIZZE'!$A$4:$A$110)+SUMIF('MENU PIZZE'!$H$4:$H$110,B30,'MENU PIZZE'!$A$4:$A$110)+SUMIF('MENU PIZZE'!$I$4:$I$110,B30,'MENU PIZZE'!$A$4:$A$110)+SUMIF('MENU PIZZE'!$J$4:$J$110,B30,'MENU PIZZE'!$A$4:$A$110)+SUMIF('MENU PIZZE'!$K$4:$K$110,B30,'MENU PIZZE'!$A$4:$A$110)+SUMIF('MENU PIZZE'!$L$4:$L$110,B30,'MENU PIZZE'!$A$4:$A$110)</f>
        <v>0</v>
      </c>
      <c r="D30" s="38"/>
      <c r="E30" s="57" t="str">
        <f t="shared" si="1"/>
        <v/>
      </c>
      <c r="F30" s="58" t="str">
        <f t="shared" si="2"/>
        <v/>
      </c>
      <c r="G30" s="55">
        <f t="shared" si="3"/>
        <v>0</v>
      </c>
      <c r="H30" s="59">
        <f>countif('MENU PIZZE'!$E$4:$L$110,B30)</f>
        <v>2</v>
      </c>
      <c r="I30" s="26" t="str">
        <f>IFERROR(VLOOKUP(B30,'Ricette dei preparati'!B:D,3,FALSE),"")</f>
        <v/>
      </c>
    </row>
    <row r="31" ht="15.75" customHeight="1">
      <c r="A31" s="53" t="s">
        <v>331</v>
      </c>
      <c r="B31" s="54" t="s">
        <v>66</v>
      </c>
      <c r="C31" s="55">
        <f>SUMIF('MENU PIZZE'!$E$4:$E$110,B31,'MENU PIZZE'!$A$4:$A$110)+SUMIF('MENU PIZZE'!$F$4:$F$110,B31,'MENU PIZZE'!$A$4:$A$110)+SUMIF('MENU PIZZE'!$G$4:$G$110,B31,'MENU PIZZE'!$A$4:$A$110)+SUMIF('MENU PIZZE'!$H$4:$H$110,B31,'MENU PIZZE'!$A$4:$A$110)+SUMIF('MENU PIZZE'!$I$4:$I$110,B31,'MENU PIZZE'!$A$4:$A$110)+SUMIF('MENU PIZZE'!$J$4:$J$110,B31,'MENU PIZZE'!$A$4:$A$110)+SUMIF('MENU PIZZE'!$K$4:$K$110,B31,'MENU PIZZE'!$A$4:$A$110)+SUMIF('MENU PIZZE'!$L$4:$L$110,B31,'MENU PIZZE'!$A$4:$A$110)</f>
        <v>0</v>
      </c>
      <c r="D31" s="38"/>
      <c r="E31" s="57" t="str">
        <f t="shared" si="1"/>
        <v/>
      </c>
      <c r="F31" s="58" t="str">
        <f t="shared" si="2"/>
        <v/>
      </c>
      <c r="G31" s="55">
        <f t="shared" si="3"/>
        <v>0</v>
      </c>
      <c r="H31" s="59">
        <f>countif('MENU PIZZE'!$E$4:$L$110,B31)</f>
        <v>3</v>
      </c>
      <c r="I31" s="26" t="str">
        <f>IFERROR(VLOOKUP(B31,'Ricette dei preparati'!B:D,3,FALSE),"")</f>
        <v/>
      </c>
    </row>
    <row r="32" ht="15.75" customHeight="1">
      <c r="A32" s="53" t="s">
        <v>336</v>
      </c>
      <c r="B32" s="54" t="s">
        <v>258</v>
      </c>
      <c r="C32" s="55">
        <f>SUMIF('MENU PIZZE'!$E$4:$E$110,B32,'MENU PIZZE'!$A$4:$A$110)+SUMIF('MENU PIZZE'!$F$4:$F$110,B32,'MENU PIZZE'!$A$4:$A$110)+SUMIF('MENU PIZZE'!$G$4:$G$110,B32,'MENU PIZZE'!$A$4:$A$110)+SUMIF('MENU PIZZE'!$H$4:$H$110,B32,'MENU PIZZE'!$A$4:$A$110)+SUMIF('MENU PIZZE'!$I$4:$I$110,B32,'MENU PIZZE'!$A$4:$A$110)+SUMIF('MENU PIZZE'!$J$4:$J$110,B32,'MENU PIZZE'!$A$4:$A$110)+SUMIF('MENU PIZZE'!$K$4:$K$110,B32,'MENU PIZZE'!$A$4:$A$110)+SUMIF('MENU PIZZE'!$L$4:$L$110,B32,'MENU PIZZE'!$A$4:$A$110)</f>
        <v>0</v>
      </c>
      <c r="D32" s="38"/>
      <c r="E32" s="57" t="str">
        <f t="shared" si="1"/>
        <v/>
      </c>
      <c r="F32" s="58" t="str">
        <f t="shared" si="2"/>
        <v/>
      </c>
      <c r="G32" s="55">
        <f t="shared" si="3"/>
        <v>0</v>
      </c>
      <c r="H32" s="59">
        <f>countif('MENU PIZZE'!$E$4:$L$110,B32)</f>
        <v>3</v>
      </c>
      <c r="I32" s="26" t="str">
        <f>IFERROR(VLOOKUP(B32,'Ricette dei preparati'!B:D,3,FALSE),"")</f>
        <v/>
      </c>
    </row>
    <row r="33" ht="15.75" customHeight="1">
      <c r="A33" s="53" t="s">
        <v>336</v>
      </c>
      <c r="B33" s="54" t="s">
        <v>98</v>
      </c>
      <c r="C33" s="55">
        <f>SUMIF('MENU PIZZE'!$E$4:$E$110,B33,'MENU PIZZE'!$A$4:$A$110)+SUMIF('MENU PIZZE'!$F$4:$F$110,B33,'MENU PIZZE'!$A$4:$A$110)+SUMIF('MENU PIZZE'!$G$4:$G$110,B33,'MENU PIZZE'!$A$4:$A$110)+SUMIF('MENU PIZZE'!$H$4:$H$110,B33,'MENU PIZZE'!$A$4:$A$110)+SUMIF('MENU PIZZE'!$I$4:$I$110,B33,'MENU PIZZE'!$A$4:$A$110)+SUMIF('MENU PIZZE'!$J$4:$J$110,B33,'MENU PIZZE'!$A$4:$A$110)+SUMIF('MENU PIZZE'!$K$4:$K$110,B33,'MENU PIZZE'!$A$4:$A$110)+SUMIF('MENU PIZZE'!$L$4:$L$110,B33,'MENU PIZZE'!$A$4:$A$110)</f>
        <v>0</v>
      </c>
      <c r="D33" s="20"/>
      <c r="E33" s="57" t="str">
        <f t="shared" si="1"/>
        <v/>
      </c>
      <c r="F33" s="58" t="str">
        <f t="shared" si="2"/>
        <v/>
      </c>
      <c r="G33" s="55">
        <f t="shared" si="3"/>
        <v>0</v>
      </c>
      <c r="H33" s="59">
        <f>countif('MENU PIZZE'!$E$4:$L$110,B33)</f>
        <v>2</v>
      </c>
      <c r="I33" s="26" t="str">
        <f>IFERROR(VLOOKUP(B33,'Ricette dei preparati'!B:D,3,FALSE),"")</f>
        <v/>
      </c>
    </row>
    <row r="34" ht="15.75" customHeight="1">
      <c r="A34" s="53" t="s">
        <v>336</v>
      </c>
      <c r="B34" s="62" t="s">
        <v>126</v>
      </c>
      <c r="C34" s="55">
        <f>SUMIF('MENU PIZZE'!$E$4:$E$110,B34,'MENU PIZZE'!$A$4:$A$110)+SUMIF('MENU PIZZE'!$F$4:$F$110,B34,'MENU PIZZE'!$A$4:$A$110)+SUMIF('MENU PIZZE'!$G$4:$G$110,B34,'MENU PIZZE'!$A$4:$A$110)+SUMIF('MENU PIZZE'!$H$4:$H$110,B34,'MENU PIZZE'!$A$4:$A$110)+SUMIF('MENU PIZZE'!$I$4:$I$110,B34,'MENU PIZZE'!$A$4:$A$110)+SUMIF('MENU PIZZE'!$J$4:$J$110,B34,'MENU PIZZE'!$A$4:$A$110)+SUMIF('MENU PIZZE'!$K$4:$K$110,B34,'MENU PIZZE'!$A$4:$A$110)+SUMIF('MENU PIZZE'!$L$4:$L$110,B34,'MENU PIZZE'!$A$4:$A$110)</f>
        <v>0</v>
      </c>
      <c r="D34" s="38"/>
      <c r="E34" s="57" t="str">
        <f t="shared" si="1"/>
        <v/>
      </c>
      <c r="F34" s="58" t="str">
        <f t="shared" si="2"/>
        <v/>
      </c>
      <c r="G34" s="55">
        <f t="shared" si="3"/>
        <v>0</v>
      </c>
      <c r="H34" s="59">
        <f>countif('MENU PIZZE'!$E$4:$L$110,B34)</f>
        <v>2</v>
      </c>
      <c r="I34" s="26" t="str">
        <f>IFERROR(VLOOKUP(B34,'Ricette dei preparati'!B:D,3,FALSE),"")</f>
        <v/>
      </c>
    </row>
    <row r="35" ht="15.75" customHeight="1">
      <c r="A35" s="53" t="s">
        <v>336</v>
      </c>
      <c r="B35" s="54" t="s">
        <v>233</v>
      </c>
      <c r="C35" s="55">
        <f>SUMIF('MENU PIZZE'!$E$4:$E$110,B35,'MENU PIZZE'!$A$4:$A$110)+SUMIF('MENU PIZZE'!$F$4:$F$110,B35,'MENU PIZZE'!$A$4:$A$110)+SUMIF('MENU PIZZE'!$G$4:$G$110,B35,'MENU PIZZE'!$A$4:$A$110)+SUMIF('MENU PIZZE'!$H$4:$H$110,B35,'MENU PIZZE'!$A$4:$A$110)+SUMIF('MENU PIZZE'!$I$4:$I$110,B35,'MENU PIZZE'!$A$4:$A$110)+SUMIF('MENU PIZZE'!$J$4:$J$110,B35,'MENU PIZZE'!$A$4:$A$110)+SUMIF('MENU PIZZE'!$K$4:$K$110,B35,'MENU PIZZE'!$A$4:$A$110)+SUMIF('MENU PIZZE'!$L$4:$L$110,B35,'MENU PIZZE'!$A$4:$A$110)</f>
        <v>0</v>
      </c>
      <c r="D35" s="38"/>
      <c r="E35" s="57" t="str">
        <f t="shared" si="1"/>
        <v/>
      </c>
      <c r="F35" s="58" t="str">
        <f t="shared" si="2"/>
        <v/>
      </c>
      <c r="G35" s="55">
        <f t="shared" si="3"/>
        <v>0</v>
      </c>
      <c r="H35" s="59">
        <f>countif('MENU PIZZE'!$E$4:$L$110,B35)</f>
        <v>4</v>
      </c>
      <c r="I35" s="26" t="str">
        <f>IFERROR(VLOOKUP(B35,'Ricette dei preparati'!B:D,3,FALSE),"")</f>
        <v/>
      </c>
    </row>
    <row r="36" ht="15.75" customHeight="1">
      <c r="A36" s="53" t="s">
        <v>336</v>
      </c>
      <c r="B36" s="54" t="s">
        <v>111</v>
      </c>
      <c r="C36" s="55">
        <f>SUMIF('MENU PIZZE'!$E$4:$E$110,B36,'MENU PIZZE'!$A$4:$A$110)+SUMIF('MENU PIZZE'!$F$4:$F$110,B36,'MENU PIZZE'!$A$4:$A$110)+SUMIF('MENU PIZZE'!$G$4:$G$110,B36,'MENU PIZZE'!$A$4:$A$110)+SUMIF('MENU PIZZE'!$H$4:$H$110,B36,'MENU PIZZE'!$A$4:$A$110)+SUMIF('MENU PIZZE'!$I$4:$I$110,B36,'MENU PIZZE'!$A$4:$A$110)+SUMIF('MENU PIZZE'!$J$4:$J$110,B36,'MENU PIZZE'!$A$4:$A$110)+SUMIF('MENU PIZZE'!$K$4:$K$110,B36,'MENU PIZZE'!$A$4:$A$110)+SUMIF('MENU PIZZE'!$L$4:$L$110,B36,'MENU PIZZE'!$A$4:$A$110)</f>
        <v>0</v>
      </c>
      <c r="D36" s="38"/>
      <c r="E36" s="57" t="str">
        <f t="shared" si="1"/>
        <v/>
      </c>
      <c r="F36" s="58" t="str">
        <f t="shared" si="2"/>
        <v/>
      </c>
      <c r="G36" s="55">
        <f t="shared" si="3"/>
        <v>0</v>
      </c>
      <c r="H36" s="64">
        <f>COUNTIF('MENU PIZZE'!$E$4:$L$110,B36)</f>
        <v>7</v>
      </c>
      <c r="I36" s="26" t="str">
        <f>IFERROR(VLOOKUP(B36,'Ricette dei preparati'!B:D,3,FALSE),"")</f>
        <v/>
      </c>
    </row>
    <row r="37" ht="15.75" customHeight="1">
      <c r="A37" s="53" t="s">
        <v>336</v>
      </c>
      <c r="B37" s="54" t="s">
        <v>145</v>
      </c>
      <c r="C37" s="55">
        <f>SUMIF('MENU PIZZE'!$E$4:$E$110,B37,'MENU PIZZE'!$A$4:$A$110)+SUMIF('MENU PIZZE'!$F$4:$F$110,B37,'MENU PIZZE'!$A$4:$A$110)+SUMIF('MENU PIZZE'!$G$4:$G$110,B37,'MENU PIZZE'!$A$4:$A$110)+SUMIF('MENU PIZZE'!$H$4:$H$110,B37,'MENU PIZZE'!$A$4:$A$110)+SUMIF('MENU PIZZE'!$I$4:$I$110,B37,'MENU PIZZE'!$A$4:$A$110)+SUMIF('MENU PIZZE'!$J$4:$J$110,B37,'MENU PIZZE'!$A$4:$A$110)+SUMIF('MENU PIZZE'!$K$4:$K$110,B37,'MENU PIZZE'!$A$4:$A$110)+SUMIF('MENU PIZZE'!$L$4:$L$110,B37,'MENU PIZZE'!$A$4:$A$110)</f>
        <v>0</v>
      </c>
      <c r="D37" s="38"/>
      <c r="E37" s="57" t="str">
        <f t="shared" si="1"/>
        <v/>
      </c>
      <c r="F37" s="58" t="str">
        <f t="shared" si="2"/>
        <v/>
      </c>
      <c r="G37" s="55">
        <f t="shared" si="3"/>
        <v>0</v>
      </c>
      <c r="H37" s="59">
        <f>countif('MENU PIZZE'!$E$4:$L$110,B37)</f>
        <v>1</v>
      </c>
      <c r="I37" s="26" t="str">
        <f>IFERROR(VLOOKUP(B37,'Ricette dei preparati'!B:D,3,FALSE),"")</f>
        <v/>
      </c>
    </row>
    <row r="38" ht="15.75" customHeight="1">
      <c r="A38" s="53" t="s">
        <v>336</v>
      </c>
      <c r="B38" s="54" t="s">
        <v>224</v>
      </c>
      <c r="C38" s="55">
        <f>SUMIF('MENU PIZZE'!$E$4:$E$110,B38,'MENU PIZZE'!$A$4:$A$110)+SUMIF('MENU PIZZE'!$F$4:$F$110,B38,'MENU PIZZE'!$A$4:$A$110)+SUMIF('MENU PIZZE'!$G$4:$G$110,B38,'MENU PIZZE'!$A$4:$A$110)+SUMIF('MENU PIZZE'!$H$4:$H$110,B38,'MENU PIZZE'!$A$4:$A$110)+SUMIF('MENU PIZZE'!$I$4:$I$110,B38,'MENU PIZZE'!$A$4:$A$110)+SUMIF('MENU PIZZE'!$J$4:$J$110,B38,'MENU PIZZE'!$A$4:$A$110)+SUMIF('MENU PIZZE'!$K$4:$K$110,B38,'MENU PIZZE'!$A$4:$A$110)+SUMIF('MENU PIZZE'!$L$4:$L$110,B38,'MENU PIZZE'!$A$4:$A$110)</f>
        <v>0</v>
      </c>
      <c r="D38" s="38"/>
      <c r="E38" s="57" t="str">
        <f t="shared" si="1"/>
        <v/>
      </c>
      <c r="F38" s="58" t="str">
        <f t="shared" si="2"/>
        <v/>
      </c>
      <c r="G38" s="55">
        <f t="shared" si="3"/>
        <v>0</v>
      </c>
      <c r="H38" s="59">
        <f>countif('MENU PIZZE'!$E$4:$L$110,B38)</f>
        <v>2</v>
      </c>
      <c r="I38" s="26" t="str">
        <f>IFERROR(VLOOKUP(B38,'Ricette dei preparati'!B:D,3,FALSE),"")</f>
        <v/>
      </c>
    </row>
    <row r="39" ht="15.75" customHeight="1">
      <c r="A39" s="53" t="s">
        <v>336</v>
      </c>
      <c r="B39" s="54" t="s">
        <v>95</v>
      </c>
      <c r="C39" s="55">
        <f>SUMIF('MENU PIZZE'!$E$4:$E$110,B39,'MENU PIZZE'!$A$4:$A$110)+SUMIF('MENU PIZZE'!$F$4:$F$110,B39,'MENU PIZZE'!$A$4:$A$110)+SUMIF('MENU PIZZE'!$G$4:$G$110,B39,'MENU PIZZE'!$A$4:$A$110)+SUMIF('MENU PIZZE'!$H$4:$H$110,B39,'MENU PIZZE'!$A$4:$A$110)+SUMIF('MENU PIZZE'!$I$4:$I$110,B39,'MENU PIZZE'!$A$4:$A$110)+SUMIF('MENU PIZZE'!$J$4:$J$110,B39,'MENU PIZZE'!$A$4:$A$110)+SUMIF('MENU PIZZE'!$K$4:$K$110,B39,'MENU PIZZE'!$A$4:$A$110)+SUMIF('MENU PIZZE'!$L$4:$L$110,B39,'MENU PIZZE'!$A$4:$A$110)</f>
        <v>0</v>
      </c>
      <c r="D39" s="38"/>
      <c r="E39" s="57" t="str">
        <f t="shared" si="1"/>
        <v/>
      </c>
      <c r="F39" s="58" t="str">
        <f t="shared" si="2"/>
        <v/>
      </c>
      <c r="G39" s="55">
        <f t="shared" si="3"/>
        <v>0</v>
      </c>
      <c r="H39" s="59">
        <f>countif('MENU PIZZE'!$E$4:$L$110,B39)</f>
        <v>2</v>
      </c>
      <c r="I39" s="26" t="str">
        <f>IFERROR(VLOOKUP(B39,'Ricette dei preparati'!B:D,3,FALSE),"")</f>
        <v/>
      </c>
    </row>
    <row r="40" ht="15.75" customHeight="1">
      <c r="A40" s="53" t="s">
        <v>336</v>
      </c>
      <c r="B40" s="54" t="s">
        <v>159</v>
      </c>
      <c r="C40" s="55">
        <f>SUMIF('MENU PIZZE'!$E$4:$E$110,B40,'MENU PIZZE'!$A$4:$A$110)+SUMIF('MENU PIZZE'!$F$4:$F$110,B40,'MENU PIZZE'!$A$4:$A$110)+SUMIF('MENU PIZZE'!$G$4:$G$110,B40,'MENU PIZZE'!$A$4:$A$110)+SUMIF('MENU PIZZE'!$H$4:$H$110,B40,'MENU PIZZE'!$A$4:$A$110)+SUMIF('MENU PIZZE'!$I$4:$I$110,B40,'MENU PIZZE'!$A$4:$A$110)+SUMIF('MENU PIZZE'!$J$4:$J$110,B40,'MENU PIZZE'!$A$4:$A$110)+SUMIF('MENU PIZZE'!$K$4:$K$110,B40,'MENU PIZZE'!$A$4:$A$110)+SUMIF('MENU PIZZE'!$L$4:$L$110,B40,'MENU PIZZE'!$A$4:$A$110)</f>
        <v>0</v>
      </c>
      <c r="D40" s="20"/>
      <c r="E40" s="57" t="str">
        <f t="shared" si="1"/>
        <v/>
      </c>
      <c r="F40" s="58" t="str">
        <f t="shared" si="2"/>
        <v/>
      </c>
      <c r="G40" s="55">
        <f t="shared" si="3"/>
        <v>0</v>
      </c>
      <c r="H40" s="59">
        <f>countif('MENU PIZZE'!$E$4:$L$110,B40)</f>
        <v>1</v>
      </c>
      <c r="I40" s="26" t="str">
        <f>IFERROR(VLOOKUP(B40,'Ricette dei preparati'!B:D,3,FALSE),"")</f>
        <v/>
      </c>
    </row>
    <row r="41" ht="15.75" customHeight="1">
      <c r="A41" s="53" t="s">
        <v>336</v>
      </c>
      <c r="B41" s="62" t="s">
        <v>151</v>
      </c>
      <c r="C41" s="55">
        <f>SUMIF('MENU PIZZE'!$E$4:$E$110,B41,'MENU PIZZE'!$A$4:$A$110)+SUMIF('MENU PIZZE'!$F$4:$F$110,B41,'MENU PIZZE'!$A$4:$A$110)+SUMIF('MENU PIZZE'!$G$4:$G$110,B41,'MENU PIZZE'!$A$4:$A$110)+SUMIF('MENU PIZZE'!$H$4:$H$110,B41,'MENU PIZZE'!$A$4:$A$110)+SUMIF('MENU PIZZE'!$I$4:$I$110,B41,'MENU PIZZE'!$A$4:$A$110)+SUMIF('MENU PIZZE'!$J$4:$J$110,B41,'MENU PIZZE'!$A$4:$A$110)+SUMIF('MENU PIZZE'!$K$4:$K$110,B41,'MENU PIZZE'!$A$4:$A$110)+SUMIF('MENU PIZZE'!$L$4:$L$110,B41,'MENU PIZZE'!$A$4:$A$110)</f>
        <v>0</v>
      </c>
      <c r="D41" s="20"/>
      <c r="E41" s="57" t="str">
        <f t="shared" si="1"/>
        <v/>
      </c>
      <c r="F41" s="58" t="str">
        <f t="shared" si="2"/>
        <v/>
      </c>
      <c r="G41" s="55">
        <f t="shared" si="3"/>
        <v>0</v>
      </c>
      <c r="H41" s="64">
        <f>COUNTIF('MENU PIZZE'!$E$4:$L$110,B41)</f>
        <v>2</v>
      </c>
      <c r="I41" s="26" t="str">
        <f>IFERROR(VLOOKUP(B41,'Ricette dei preparati'!B:D,3,FALSE),"")</f>
        <v/>
      </c>
    </row>
    <row r="42" ht="15.75" customHeight="1">
      <c r="A42" s="53" t="s">
        <v>336</v>
      </c>
      <c r="B42" s="62" t="s">
        <v>155</v>
      </c>
      <c r="C42" s="55">
        <f>SUMIF('MENU PIZZE'!$E$4:$E$110,B42,'MENU PIZZE'!$A$4:$A$110)+SUMIF('MENU PIZZE'!$F$4:$F$110,B42,'MENU PIZZE'!$A$4:$A$110)+SUMIF('MENU PIZZE'!$G$4:$G$110,B42,'MENU PIZZE'!$A$4:$A$110)+SUMIF('MENU PIZZE'!$H$4:$H$110,B42,'MENU PIZZE'!$A$4:$A$110)+SUMIF('MENU PIZZE'!$I$4:$I$110,B42,'MENU PIZZE'!$A$4:$A$110)+SUMIF('MENU PIZZE'!$J$4:$J$110,B42,'MENU PIZZE'!$A$4:$A$110)+SUMIF('MENU PIZZE'!$K$4:$K$110,B42,'MENU PIZZE'!$A$4:$A$110)+SUMIF('MENU PIZZE'!$L$4:$L$110,B42,'MENU PIZZE'!$A$4:$A$110)</f>
        <v>0</v>
      </c>
      <c r="D42" s="38"/>
      <c r="E42" s="57" t="str">
        <f t="shared" si="1"/>
        <v/>
      </c>
      <c r="F42" s="58" t="str">
        <f t="shared" si="2"/>
        <v/>
      </c>
      <c r="G42" s="55">
        <f t="shared" si="3"/>
        <v>0</v>
      </c>
      <c r="H42" s="59">
        <f>countif('MENU PIZZE'!$E$4:$L$110,B42)</f>
        <v>2</v>
      </c>
      <c r="I42" s="26" t="str">
        <f>IFERROR(VLOOKUP(B42,'Ricette dei preparati'!B:D,3,FALSE),"")</f>
        <v/>
      </c>
    </row>
    <row r="43" ht="15.75" customHeight="1">
      <c r="A43" s="53" t="s">
        <v>336</v>
      </c>
      <c r="B43" s="62" t="s">
        <v>129</v>
      </c>
      <c r="C43" s="55">
        <f>SUMIF('MENU PIZZE'!$E$4:$E$110,B43,'MENU PIZZE'!$A$4:$A$110)+SUMIF('MENU PIZZE'!$F$4:$F$110,B43,'MENU PIZZE'!$A$4:$A$110)+SUMIF('MENU PIZZE'!$G$4:$G$110,B43,'MENU PIZZE'!$A$4:$A$110)+SUMIF('MENU PIZZE'!$H$4:$H$110,B43,'MENU PIZZE'!$A$4:$A$110)+SUMIF('MENU PIZZE'!$I$4:$I$110,B43,'MENU PIZZE'!$A$4:$A$110)+SUMIF('MENU PIZZE'!$J$4:$J$110,B43,'MENU PIZZE'!$A$4:$A$110)+SUMIF('MENU PIZZE'!$K$4:$K$110,B43,'MENU PIZZE'!$A$4:$A$110)+SUMIF('MENU PIZZE'!$L$4:$L$110,B43,'MENU PIZZE'!$A$4:$A$110)</f>
        <v>0</v>
      </c>
      <c r="D43" s="38"/>
      <c r="E43" s="57" t="str">
        <f t="shared" si="1"/>
        <v/>
      </c>
      <c r="F43" s="58" t="str">
        <f t="shared" si="2"/>
        <v/>
      </c>
      <c r="G43" s="55">
        <f t="shared" si="3"/>
        <v>0</v>
      </c>
      <c r="H43" s="59">
        <f>countif('MENU PIZZE'!$E$4:$L$110,B43)</f>
        <v>3</v>
      </c>
      <c r="I43" s="26" t="str">
        <f>IFERROR(VLOOKUP(B43,'Ricette dei preparati'!B:D,3,FALSE),"")</f>
        <v/>
      </c>
    </row>
    <row r="44" ht="15.75" customHeight="1">
      <c r="A44" s="53" t="s">
        <v>336</v>
      </c>
      <c r="B44" s="54" t="s">
        <v>100</v>
      </c>
      <c r="C44" s="55">
        <f>SUMIF('MENU PIZZE'!$E$4:$E$110,B44,'MENU PIZZE'!$A$4:$A$110)+SUMIF('MENU PIZZE'!$F$4:$F$110,B44,'MENU PIZZE'!$A$4:$A$110)+SUMIF('MENU PIZZE'!$G$4:$G$110,B44,'MENU PIZZE'!$A$4:$A$110)+SUMIF('MENU PIZZE'!$H$4:$H$110,B44,'MENU PIZZE'!$A$4:$A$110)+SUMIF('MENU PIZZE'!$I$4:$I$110,B44,'MENU PIZZE'!$A$4:$A$110)+SUMIF('MENU PIZZE'!$J$4:$J$110,B44,'MENU PIZZE'!$A$4:$A$110)+SUMIF('MENU PIZZE'!$K$4:$K$110,B44,'MENU PIZZE'!$A$4:$A$110)+SUMIF('MENU PIZZE'!$L$4:$L$110,B44,'MENU PIZZE'!$A$4:$A$110)</f>
        <v>0</v>
      </c>
      <c r="D44" s="38"/>
      <c r="E44" s="57" t="str">
        <f t="shared" si="1"/>
        <v/>
      </c>
      <c r="F44" s="58" t="str">
        <f t="shared" si="2"/>
        <v/>
      </c>
      <c r="G44" s="55">
        <f t="shared" si="3"/>
        <v>0</v>
      </c>
      <c r="H44" s="59">
        <f>countif('MENU PIZZE'!$E$4:$L$110,B44)</f>
        <v>4</v>
      </c>
      <c r="I44" s="26" t="str">
        <f>IFERROR(VLOOKUP(B44,'Ricette dei preparati'!B:D,3,FALSE),"")</f>
        <v/>
      </c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</row>
    <row r="45" ht="15.75" customHeight="1">
      <c r="A45" s="53" t="s">
        <v>336</v>
      </c>
      <c r="B45" s="54" t="s">
        <v>67</v>
      </c>
      <c r="C45" s="55">
        <f>SUMIF('MENU PIZZE'!$E$4:$E$110,B45,'MENU PIZZE'!$A$4:$A$110)+SUMIF('MENU PIZZE'!$F$4:$F$110,B45,'MENU PIZZE'!$A$4:$A$110)+SUMIF('MENU PIZZE'!$G$4:$G$110,B45,'MENU PIZZE'!$A$4:$A$110)+SUMIF('MENU PIZZE'!$H$4:$H$110,B45,'MENU PIZZE'!$A$4:$A$110)+SUMIF('MENU PIZZE'!$I$4:$I$110,B45,'MENU PIZZE'!$A$4:$A$110)+SUMIF('MENU PIZZE'!$J$4:$J$110,B45,'MENU PIZZE'!$A$4:$A$110)+SUMIF('MENU PIZZE'!$K$4:$K$110,B45,'MENU PIZZE'!$A$4:$A$110)+SUMIF('MENU PIZZE'!$L$4:$L$110,B45,'MENU PIZZE'!$A$4:$A$110)</f>
        <v>0</v>
      </c>
      <c r="D45" s="20"/>
      <c r="E45" s="57" t="str">
        <f t="shared" si="1"/>
        <v/>
      </c>
      <c r="F45" s="58" t="str">
        <f t="shared" si="2"/>
        <v/>
      </c>
      <c r="G45" s="55">
        <f t="shared" si="3"/>
        <v>0</v>
      </c>
      <c r="H45" s="59">
        <f>countif('MENU PIZZE'!$E$4:$L$110,B45)</f>
        <v>7</v>
      </c>
      <c r="I45" s="26" t="str">
        <f>IFERROR(VLOOKUP(B45,'Ricette dei preparati'!B:D,3,FALSE),"")</f>
        <v/>
      </c>
    </row>
    <row r="46" ht="15.75" customHeight="1">
      <c r="A46" s="53" t="s">
        <v>336</v>
      </c>
      <c r="B46" s="54" t="s">
        <v>295</v>
      </c>
      <c r="C46" s="55">
        <f>SUMIF('MENU PIZZE'!$E$4:$E$110,B46,'MENU PIZZE'!$A$4:$A$110)+SUMIF('MENU PIZZE'!$F$4:$F$110,B46,'MENU PIZZE'!$A$4:$A$110)+SUMIF('MENU PIZZE'!$G$4:$G$110,B46,'MENU PIZZE'!$A$4:$A$110)+SUMIF('MENU PIZZE'!$H$4:$H$110,B46,'MENU PIZZE'!$A$4:$A$110)+SUMIF('MENU PIZZE'!$I$4:$I$110,B46,'MENU PIZZE'!$A$4:$A$110)+SUMIF('MENU PIZZE'!$J$4:$J$110,B46,'MENU PIZZE'!$A$4:$A$110)+SUMIF('MENU PIZZE'!$K$4:$K$110,B46,'MENU PIZZE'!$A$4:$A$110)+SUMIF('MENU PIZZE'!$L$4:$L$110,B46,'MENU PIZZE'!$A$4:$A$110)</f>
        <v>0</v>
      </c>
      <c r="D46" s="38"/>
      <c r="E46" s="57" t="str">
        <f t="shared" si="1"/>
        <v/>
      </c>
      <c r="F46" s="58" t="str">
        <f t="shared" si="2"/>
        <v/>
      </c>
      <c r="G46" s="55">
        <f t="shared" si="3"/>
        <v>0</v>
      </c>
      <c r="H46" s="59">
        <f>countif('MENU PIZZE'!$E$4:$L$110,B46)</f>
        <v>1</v>
      </c>
      <c r="I46" s="26" t="str">
        <f>IFERROR(VLOOKUP(B46,'Ricette dei preparati'!B:D,3,FALSE),"")</f>
        <v/>
      </c>
    </row>
    <row r="47" ht="15.75" customHeight="1">
      <c r="A47" s="61" t="s">
        <v>332</v>
      </c>
      <c r="B47" s="54" t="s">
        <v>312</v>
      </c>
      <c r="C47" s="55">
        <f>SUMIF('MENU PIZZE'!$E$4:$E$110,B47,'MENU PIZZE'!$A$4:$A$110)+SUMIF('MENU PIZZE'!$F$4:$F$110,B47,'MENU PIZZE'!$A$4:$A$110)+SUMIF('MENU PIZZE'!$G$4:$G$110,B47,'MENU PIZZE'!$A$4:$A$110)+SUMIF('MENU PIZZE'!$H$4:$H$110,B47,'MENU PIZZE'!$A$4:$A$110)+SUMIF('MENU PIZZE'!$I$4:$I$110,B47,'MENU PIZZE'!$A$4:$A$110)+SUMIF('MENU PIZZE'!$J$4:$J$110,B47,'MENU PIZZE'!$A$4:$A$110)+SUMIF('MENU PIZZE'!$K$4:$K$110,B47,'MENU PIZZE'!$A$4:$A$110)+SUMIF('MENU PIZZE'!$L$4:$L$110,B47,'MENU PIZZE'!$A$4:$A$110)</f>
        <v>0</v>
      </c>
      <c r="D47" s="38"/>
      <c r="E47" s="57" t="str">
        <f t="shared" si="1"/>
        <v/>
      </c>
      <c r="F47" s="58" t="str">
        <f t="shared" si="2"/>
        <v/>
      </c>
      <c r="G47" s="55">
        <f t="shared" si="3"/>
        <v>0</v>
      </c>
      <c r="H47" s="59">
        <f>countif('MENU PIZZE'!$E$4:$L$110,B47)</f>
        <v>1</v>
      </c>
      <c r="I47" s="26" t="str">
        <f>IFERROR(VLOOKUP(B47,'Ricette dei preparati'!B:D,3,FALSE),"")</f>
        <v/>
      </c>
    </row>
    <row r="48" ht="15.75" customHeight="1">
      <c r="A48" s="61" t="s">
        <v>332</v>
      </c>
      <c r="B48" s="62" t="s">
        <v>135</v>
      </c>
      <c r="C48" s="55">
        <f>SUMIF('MENU PIZZE'!$E$4:$E$110,B48,'MENU PIZZE'!$A$4:$A$110)+SUMIF('MENU PIZZE'!$F$4:$F$110,B48,'MENU PIZZE'!$A$4:$A$110)+SUMIF('MENU PIZZE'!$G$4:$G$110,B48,'MENU PIZZE'!$A$4:$A$110)+SUMIF('MENU PIZZE'!$H$4:$H$110,B48,'MENU PIZZE'!$A$4:$A$110)+SUMIF('MENU PIZZE'!$I$4:$I$110,B48,'MENU PIZZE'!$A$4:$A$110)+SUMIF('MENU PIZZE'!$J$4:$J$110,B48,'MENU PIZZE'!$A$4:$A$110)+SUMIF('MENU PIZZE'!$K$4:$K$110,B48,'MENU PIZZE'!$A$4:$A$110)+SUMIF('MENU PIZZE'!$L$4:$L$110,B48,'MENU PIZZE'!$A$4:$A$110)</f>
        <v>0</v>
      </c>
      <c r="D48" s="63"/>
      <c r="E48" s="57" t="str">
        <f t="shared" si="1"/>
        <v/>
      </c>
      <c r="F48" s="58" t="str">
        <f t="shared" si="2"/>
        <v/>
      </c>
      <c r="G48" s="55">
        <f t="shared" si="3"/>
        <v>0</v>
      </c>
      <c r="H48" s="59">
        <f>countif('MENU PIZZE'!$E$4:$L$110,B48)</f>
        <v>1</v>
      </c>
      <c r="I48" s="26" t="str">
        <f>IFERROR(VLOOKUP(B48,'Ricette dei preparati'!B:D,3,FALSE),"")</f>
        <v/>
      </c>
    </row>
    <row r="49" ht="15.75" customHeight="1">
      <c r="A49" s="61" t="s">
        <v>332</v>
      </c>
      <c r="B49" s="62" t="s">
        <v>290</v>
      </c>
      <c r="C49" s="55">
        <f>SUMIF('MENU PIZZE'!$E$4:$E$110,B49,'MENU PIZZE'!$A$4:$A$110)+SUMIF('MENU PIZZE'!$F$4:$F$110,B49,'MENU PIZZE'!$A$4:$A$110)+SUMIF('MENU PIZZE'!$G$4:$G$110,B49,'MENU PIZZE'!$A$4:$A$110)+SUMIF('MENU PIZZE'!$H$4:$H$110,B49,'MENU PIZZE'!$A$4:$A$110)+SUMIF('MENU PIZZE'!$I$4:$I$110,B49,'MENU PIZZE'!$A$4:$A$110)+SUMIF('MENU PIZZE'!$J$4:$J$110,B49,'MENU PIZZE'!$A$4:$A$110)+SUMIF('MENU PIZZE'!$K$4:$K$110,B49,'MENU PIZZE'!$A$4:$A$110)+SUMIF('MENU PIZZE'!$L$4:$L$110,B49,'MENU PIZZE'!$A$4:$A$110)</f>
        <v>0</v>
      </c>
      <c r="D49" s="38"/>
      <c r="E49" s="57" t="str">
        <f t="shared" si="1"/>
        <v/>
      </c>
      <c r="F49" s="58" t="str">
        <f t="shared" si="2"/>
        <v/>
      </c>
      <c r="G49" s="55">
        <f t="shared" si="3"/>
        <v>0</v>
      </c>
      <c r="H49" s="59">
        <f>countif('MENU PIZZE'!$E$4:$L$110,B49)</f>
        <v>1</v>
      </c>
      <c r="I49" s="26" t="str">
        <f>IFERROR(VLOOKUP(B49,'Ricette dei preparati'!B:D,3,FALSE),"")</f>
        <v/>
      </c>
    </row>
    <row r="50" ht="15.75" customHeight="1">
      <c r="A50" s="61" t="s">
        <v>332</v>
      </c>
      <c r="B50" s="62" t="s">
        <v>81</v>
      </c>
      <c r="C50" s="55">
        <f>SUMIF('MENU PIZZE'!$E$4:$E$110,B50,'MENU PIZZE'!$A$4:$A$110)+SUMIF('MENU PIZZE'!$F$4:$F$110,B50,'MENU PIZZE'!$A$4:$A$110)+SUMIF('MENU PIZZE'!$G$4:$G$110,B50,'MENU PIZZE'!$A$4:$A$110)+SUMIF('MENU PIZZE'!$H$4:$H$110,B50,'MENU PIZZE'!$A$4:$A$110)+SUMIF('MENU PIZZE'!$I$4:$I$110,B50,'MENU PIZZE'!$A$4:$A$110)+SUMIF('MENU PIZZE'!$J$4:$J$110,B50,'MENU PIZZE'!$A$4:$A$110)+SUMIF('MENU PIZZE'!$K$4:$K$110,B50,'MENU PIZZE'!$A$4:$A$110)+SUMIF('MENU PIZZE'!$L$4:$L$110,B50,'MENU PIZZE'!$A$4:$A$110)</f>
        <v>0</v>
      </c>
      <c r="D50" s="20"/>
      <c r="E50" s="57" t="str">
        <f t="shared" si="1"/>
        <v/>
      </c>
      <c r="F50" s="58" t="str">
        <f t="shared" si="2"/>
        <v/>
      </c>
      <c r="G50" s="55">
        <f t="shared" si="3"/>
        <v>0</v>
      </c>
      <c r="H50" s="59">
        <f>countif('MENU PIZZE'!$E$4:$L$110,B50)</f>
        <v>1</v>
      </c>
      <c r="I50" s="26" t="str">
        <f>IFERROR(VLOOKUP(B50,'Ricette dei preparati'!B:D,3,FALSE),"")</f>
        <v>Gamberi, Scampi, Calamari, Cozze, Zafferano, Paprika dolce</v>
      </c>
    </row>
    <row r="51" ht="15.75" customHeight="1">
      <c r="A51" s="61" t="s">
        <v>332</v>
      </c>
      <c r="B51" s="62" t="s">
        <v>113</v>
      </c>
      <c r="C51" s="55">
        <f>SUMIF('MENU PIZZE'!$E$4:$E$110,B51,'MENU PIZZE'!$A$4:$A$110)+SUMIF('MENU PIZZE'!$F$4:$F$110,B51,'MENU PIZZE'!$A$4:$A$110)+SUMIF('MENU PIZZE'!$G$4:$G$110,B51,'MENU PIZZE'!$A$4:$A$110)+SUMIF('MENU PIZZE'!$H$4:$H$110,B51,'MENU PIZZE'!$A$4:$A$110)+SUMIF('MENU PIZZE'!$I$4:$I$110,B51,'MENU PIZZE'!$A$4:$A$110)+SUMIF('MENU PIZZE'!$J$4:$J$110,B51,'MENU PIZZE'!$A$4:$A$110)+SUMIF('MENU PIZZE'!$K$4:$K$110,B51,'MENU PIZZE'!$A$4:$A$110)+SUMIF('MENU PIZZE'!$L$4:$L$110,B51,'MENU PIZZE'!$A$4:$A$110)</f>
        <v>0</v>
      </c>
      <c r="D51" s="38"/>
      <c r="E51" s="57" t="str">
        <f t="shared" si="1"/>
        <v/>
      </c>
      <c r="F51" s="58" t="str">
        <f t="shared" si="2"/>
        <v/>
      </c>
      <c r="G51" s="55">
        <f t="shared" si="3"/>
        <v>0</v>
      </c>
      <c r="H51" s="59">
        <f>countif('MENU PIZZE'!$E$4:$L$110,B51)</f>
        <v>1</v>
      </c>
      <c r="I51" s="26" t="str">
        <f>IFERROR(VLOOKUP(B51,'Ricette dei preparati'!B:D,3,FALSE),"")</f>
        <v/>
      </c>
    </row>
    <row r="52" ht="15.75" customHeight="1">
      <c r="A52" s="61" t="s">
        <v>332</v>
      </c>
      <c r="B52" s="65" t="s">
        <v>76</v>
      </c>
      <c r="C52" s="55">
        <f>SUMIF('MENU PIZZE'!$E$4:$E$110,B52,'MENU PIZZE'!$A$4:$A$110)+SUMIF('MENU PIZZE'!$F$4:$F$110,B52,'MENU PIZZE'!$A$4:$A$110)+SUMIF('MENU PIZZE'!$G$4:$G$110,B52,'MENU PIZZE'!$A$4:$A$110)+SUMIF('MENU PIZZE'!$H$4:$H$110,B52,'MENU PIZZE'!$A$4:$A$110)+SUMIF('MENU PIZZE'!$I$4:$I$110,B52,'MENU PIZZE'!$A$4:$A$110)+SUMIF('MENU PIZZE'!$J$4:$J$110,B52,'MENU PIZZE'!$A$4:$A$110)+SUMIF('MENU PIZZE'!$K$4:$K$110,B52,'MENU PIZZE'!$A$4:$A$110)+SUMIF('MENU PIZZE'!$L$4:$L$110,B52,'MENU PIZZE'!$A$4:$A$110)</f>
        <v>0</v>
      </c>
      <c r="D52" s="20"/>
      <c r="E52" s="57" t="str">
        <f t="shared" si="1"/>
        <v/>
      </c>
      <c r="F52" s="58" t="str">
        <f t="shared" si="2"/>
        <v/>
      </c>
      <c r="G52" s="55">
        <f t="shared" si="3"/>
        <v>0</v>
      </c>
      <c r="H52" s="59">
        <f>countif('MENU PIZZE'!$E$4:$L$110,B52)</f>
        <v>4</v>
      </c>
      <c r="I52" s="26" t="str">
        <f>IFERROR(VLOOKUP(B52,'Ricette dei preparati'!B:D,3,FALSE),"")</f>
        <v/>
      </c>
    </row>
    <row r="53" ht="15.75" customHeight="1">
      <c r="A53" s="61" t="s">
        <v>332</v>
      </c>
      <c r="B53" s="54" t="s">
        <v>238</v>
      </c>
      <c r="C53" s="55">
        <f>SUMIF('MENU PIZZE'!$E$4:$E$110,B53,'MENU PIZZE'!$A$4:$A$110)+SUMIF('MENU PIZZE'!$F$4:$F$110,B53,'MENU PIZZE'!$A$4:$A$110)+SUMIF('MENU PIZZE'!$G$4:$G$110,B53,'MENU PIZZE'!$A$4:$A$110)+SUMIF('MENU PIZZE'!$H$4:$H$110,B53,'MENU PIZZE'!$A$4:$A$110)+SUMIF('MENU PIZZE'!$I$4:$I$110,B53,'MENU PIZZE'!$A$4:$A$110)+SUMIF('MENU PIZZE'!$J$4:$J$110,B53,'MENU PIZZE'!$A$4:$A$110)+SUMIF('MENU PIZZE'!$K$4:$K$110,B53,'MENU PIZZE'!$A$4:$A$110)+SUMIF('MENU PIZZE'!$L$4:$L$110,B53,'MENU PIZZE'!$A$4:$A$110)</f>
        <v>0</v>
      </c>
      <c r="D53" s="38"/>
      <c r="E53" s="57" t="str">
        <f t="shared" si="1"/>
        <v/>
      </c>
      <c r="F53" s="58" t="str">
        <f t="shared" si="2"/>
        <v/>
      </c>
      <c r="G53" s="55">
        <f t="shared" si="3"/>
        <v>0</v>
      </c>
      <c r="H53" s="59">
        <f>countif('MENU PIZZE'!$E$4:$L$110,B53)</f>
        <v>1</v>
      </c>
      <c r="I53" s="26" t="str">
        <f>IFERROR(VLOOKUP(B53,'Ricette dei preparati'!B:D,3,FALSE),"")</f>
        <v/>
      </c>
    </row>
    <row r="54" ht="15.75" customHeight="1">
      <c r="A54" s="53" t="s">
        <v>333</v>
      </c>
      <c r="B54" s="62" t="s">
        <v>209</v>
      </c>
      <c r="C54" s="55">
        <f>SUMIF('MENU PIZZE'!$E$4:$E$110,B54,'MENU PIZZE'!$A$4:$A$110)+SUMIF('MENU PIZZE'!$F$4:$F$110,B54,'MENU PIZZE'!$A$4:$A$110)+SUMIF('MENU PIZZE'!$G$4:$G$110,B54,'MENU PIZZE'!$A$4:$A$110)+SUMIF('MENU PIZZE'!$H$4:$H$110,B54,'MENU PIZZE'!$A$4:$A$110)+SUMIF('MENU PIZZE'!$I$4:$I$110,B54,'MENU PIZZE'!$A$4:$A$110)+SUMIF('MENU PIZZE'!$J$4:$J$110,B54,'MENU PIZZE'!$A$4:$A$110)+SUMIF('MENU PIZZE'!$K$4:$K$110,B54,'MENU PIZZE'!$A$4:$A$110)+SUMIF('MENU PIZZE'!$L$4:$L$110,B54,'MENU PIZZE'!$A$4:$A$110)</f>
        <v>0</v>
      </c>
      <c r="D54" s="38"/>
      <c r="E54" s="57" t="str">
        <f t="shared" si="1"/>
        <v/>
      </c>
      <c r="F54" s="58" t="str">
        <f t="shared" si="2"/>
        <v/>
      </c>
      <c r="G54" s="55">
        <f t="shared" si="3"/>
        <v>0</v>
      </c>
      <c r="H54" s="59">
        <f>countif('MENU PIZZE'!$E$4:$L$110,B54)</f>
        <v>1</v>
      </c>
      <c r="I54" s="26" t="str">
        <f>IFERROR(VLOOKUP(B54,'Ricette dei preparati'!B:D,3,FALSE),"")</f>
        <v/>
      </c>
    </row>
    <row r="55" ht="15.75" customHeight="1">
      <c r="A55" s="53" t="s">
        <v>333</v>
      </c>
      <c r="B55" s="54" t="s">
        <v>125</v>
      </c>
      <c r="C55" s="55">
        <f>SUMIF('MENU PIZZE'!$E$4:$E$110,B55,'MENU PIZZE'!$A$4:$A$110)+SUMIF('MENU PIZZE'!$F$4:$F$110,B55,'MENU PIZZE'!$A$4:$A$110)+SUMIF('MENU PIZZE'!$G$4:$G$110,B55,'MENU PIZZE'!$A$4:$A$110)+SUMIF('MENU PIZZE'!$H$4:$H$110,B55,'MENU PIZZE'!$A$4:$A$110)+SUMIF('MENU PIZZE'!$I$4:$I$110,B55,'MENU PIZZE'!$A$4:$A$110)+SUMIF('MENU PIZZE'!$J$4:$J$110,B55,'MENU PIZZE'!$A$4:$A$110)+SUMIF('MENU PIZZE'!$K$4:$K$110,B55,'MENU PIZZE'!$A$4:$A$110)+SUMIF('MENU PIZZE'!$L$4:$L$110,B55,'MENU PIZZE'!$A$4:$A$110)</f>
        <v>0</v>
      </c>
      <c r="D55" s="38"/>
      <c r="E55" s="57" t="str">
        <f t="shared" si="1"/>
        <v/>
      </c>
      <c r="F55" s="58" t="str">
        <f t="shared" si="2"/>
        <v/>
      </c>
      <c r="G55" s="55">
        <f t="shared" si="3"/>
        <v>0</v>
      </c>
      <c r="H55" s="59">
        <f>countif('MENU PIZZE'!$E$4:$L$110,B55)</f>
        <v>3</v>
      </c>
      <c r="I55" s="26" t="str">
        <f>IFERROR(VLOOKUP(B55,'Ricette dei preparati'!B:D,3,FALSE),"")</f>
        <v/>
      </c>
    </row>
    <row r="56" ht="15.75" customHeight="1">
      <c r="A56" s="53" t="s">
        <v>333</v>
      </c>
      <c r="B56" s="54" t="s">
        <v>239</v>
      </c>
      <c r="C56" s="55">
        <f>SUMIF('MENU PIZZE'!$E$4:$E$110,B56,'MENU PIZZE'!$A$4:$A$110)+SUMIF('MENU PIZZE'!$F$4:$F$110,B56,'MENU PIZZE'!$A$4:$A$110)+SUMIF('MENU PIZZE'!$G$4:$G$110,B56,'MENU PIZZE'!$A$4:$A$110)+SUMIF('MENU PIZZE'!$H$4:$H$110,B56,'MENU PIZZE'!$A$4:$A$110)+SUMIF('MENU PIZZE'!$I$4:$I$110,B56,'MENU PIZZE'!$A$4:$A$110)+SUMIF('MENU PIZZE'!$J$4:$J$110,B56,'MENU PIZZE'!$A$4:$A$110)+SUMIF('MENU PIZZE'!$K$4:$K$110,B56,'MENU PIZZE'!$A$4:$A$110)+SUMIF('MENU PIZZE'!$L$4:$L$110,B56,'MENU PIZZE'!$A$4:$A$110)</f>
        <v>0</v>
      </c>
      <c r="D56" s="38"/>
      <c r="E56" s="57" t="str">
        <f t="shared" si="1"/>
        <v/>
      </c>
      <c r="F56" s="58" t="str">
        <f t="shared" si="2"/>
        <v/>
      </c>
      <c r="G56" s="55">
        <f t="shared" si="3"/>
        <v>0</v>
      </c>
      <c r="H56" s="59">
        <f>countif('MENU PIZZE'!$E$4:$L$110,B56)</f>
        <v>4</v>
      </c>
      <c r="I56" s="26" t="str">
        <f>IFERROR(VLOOKUP(B56,'Ricette dei preparati'!B:D,3,FALSE),"")</f>
        <v/>
      </c>
    </row>
    <row r="57" ht="15.75" customHeight="1">
      <c r="A57" s="53" t="s">
        <v>333</v>
      </c>
      <c r="B57" s="54" t="s">
        <v>103</v>
      </c>
      <c r="C57" s="55">
        <f>SUMIF('MENU PIZZE'!$E$4:$E$110,B57,'MENU PIZZE'!$A$4:$A$110)+SUMIF('MENU PIZZE'!$F$4:$F$110,B57,'MENU PIZZE'!$A$4:$A$110)+SUMIF('MENU PIZZE'!$G$4:$G$110,B57,'MENU PIZZE'!$A$4:$A$110)+SUMIF('MENU PIZZE'!$H$4:$H$110,B57,'MENU PIZZE'!$A$4:$A$110)+SUMIF('MENU PIZZE'!$I$4:$I$110,B57,'MENU PIZZE'!$A$4:$A$110)+SUMIF('MENU PIZZE'!$J$4:$J$110,B57,'MENU PIZZE'!$A$4:$A$110)+SUMIF('MENU PIZZE'!$K$4:$K$110,B57,'MENU PIZZE'!$A$4:$A$110)+SUMIF('MENU PIZZE'!$L$4:$L$110,B57,'MENU PIZZE'!$A$4:$A$110)</f>
        <v>0</v>
      </c>
      <c r="D57" s="38"/>
      <c r="E57" s="57" t="str">
        <f t="shared" si="1"/>
        <v/>
      </c>
      <c r="F57" s="58" t="str">
        <f t="shared" si="2"/>
        <v/>
      </c>
      <c r="G57" s="55">
        <f t="shared" si="3"/>
        <v>0</v>
      </c>
      <c r="H57" s="59">
        <f>countif('MENU PIZZE'!$E$4:$L$110,B57)</f>
        <v>2</v>
      </c>
      <c r="I57" s="26" t="str">
        <f>IFERROR(VLOOKUP(B57,'Ricette dei preparati'!B:D,3,FALSE),"")</f>
        <v/>
      </c>
    </row>
    <row r="58" ht="15.75" customHeight="1">
      <c r="A58" s="53" t="s">
        <v>333</v>
      </c>
      <c r="B58" s="54" t="s">
        <v>101</v>
      </c>
      <c r="C58" s="55">
        <f>SUMIF('MENU PIZZE'!$E$4:$E$110,B58,'MENU PIZZE'!$A$4:$A$110)+SUMIF('MENU PIZZE'!$F$4:$F$110,B58,'MENU PIZZE'!$A$4:$A$110)+SUMIF('MENU PIZZE'!$G$4:$G$110,B58,'MENU PIZZE'!$A$4:$A$110)+SUMIF('MENU PIZZE'!$H$4:$H$110,B58,'MENU PIZZE'!$A$4:$A$110)+SUMIF('MENU PIZZE'!$I$4:$I$110,B58,'MENU PIZZE'!$A$4:$A$110)+SUMIF('MENU PIZZE'!$J$4:$J$110,B58,'MENU PIZZE'!$A$4:$A$110)+SUMIF('MENU PIZZE'!$K$4:$K$110,B58,'MENU PIZZE'!$A$4:$A$110)+SUMIF('MENU PIZZE'!$L$4:$L$110,B58,'MENU PIZZE'!$A$4:$A$110)</f>
        <v>0</v>
      </c>
      <c r="D58" s="38"/>
      <c r="E58" s="57" t="str">
        <f t="shared" si="1"/>
        <v/>
      </c>
      <c r="F58" s="58" t="str">
        <f t="shared" si="2"/>
        <v/>
      </c>
      <c r="G58" s="55">
        <f t="shared" si="3"/>
        <v>0</v>
      </c>
      <c r="H58" s="59">
        <f>countif('MENU PIZZE'!$E$4:$L$110,B58)</f>
        <v>1</v>
      </c>
      <c r="I58" s="26" t="str">
        <f>IFERROR(VLOOKUP(B58,'Ricette dei preparati'!B:D,3,FALSE),"")</f>
        <v/>
      </c>
    </row>
    <row r="59" ht="15.75" customHeight="1">
      <c r="A59" s="53" t="s">
        <v>333</v>
      </c>
      <c r="B59" s="54" t="s">
        <v>271</v>
      </c>
      <c r="C59" s="55">
        <f>SUMIF('MENU PIZZE'!$E$4:$E$110,B59,'MENU PIZZE'!$A$4:$A$110)+SUMIF('MENU PIZZE'!$F$4:$F$110,B59,'MENU PIZZE'!$A$4:$A$110)+SUMIF('MENU PIZZE'!$G$4:$G$110,B59,'MENU PIZZE'!$A$4:$A$110)+SUMIF('MENU PIZZE'!$H$4:$H$110,B59,'MENU PIZZE'!$A$4:$A$110)+SUMIF('MENU PIZZE'!$I$4:$I$110,B59,'MENU PIZZE'!$A$4:$A$110)+SUMIF('MENU PIZZE'!$J$4:$J$110,B59,'MENU PIZZE'!$A$4:$A$110)+SUMIF('MENU PIZZE'!$K$4:$K$110,B59,'MENU PIZZE'!$A$4:$A$110)+SUMIF('MENU PIZZE'!$L$4:$L$110,B59,'MENU PIZZE'!$A$4:$A$110)</f>
        <v>0</v>
      </c>
      <c r="D59" s="38"/>
      <c r="E59" s="57" t="str">
        <f t="shared" si="1"/>
        <v/>
      </c>
      <c r="F59" s="58" t="str">
        <f t="shared" si="2"/>
        <v/>
      </c>
      <c r="G59" s="55">
        <f t="shared" si="3"/>
        <v>0</v>
      </c>
      <c r="H59" s="59">
        <f>countif('MENU PIZZE'!$E$4:$L$110,B59)</f>
        <v>2</v>
      </c>
      <c r="I59" s="26" t="str">
        <f>IFERROR(VLOOKUP(B59,'Ricette dei preparati'!B:D,3,FALSE),"")</f>
        <v/>
      </c>
    </row>
    <row r="60" ht="15.75" customHeight="1">
      <c r="A60" s="53" t="s">
        <v>333</v>
      </c>
      <c r="B60" s="66" t="s">
        <v>284</v>
      </c>
      <c r="C60" s="55">
        <f>SUMIF('MENU PIZZE'!$E$4:$E$110,B60,'MENU PIZZE'!$A$4:$A$110)+SUMIF('MENU PIZZE'!$F$4:$F$110,B60,'MENU PIZZE'!$A$4:$A$110)+SUMIF('MENU PIZZE'!$G$4:$G$110,B60,'MENU PIZZE'!$A$4:$A$110)+SUMIF('MENU PIZZE'!$H$4:$H$110,B60,'MENU PIZZE'!$A$4:$A$110)+SUMIF('MENU PIZZE'!$I$4:$I$110,B60,'MENU PIZZE'!$A$4:$A$110)+SUMIF('MENU PIZZE'!$J$4:$J$110,B60,'MENU PIZZE'!$A$4:$A$110)+SUMIF('MENU PIZZE'!$K$4:$K$110,B60,'MENU PIZZE'!$A$4:$A$110)+SUMIF('MENU PIZZE'!$L$4:$L$110,B60,'MENU PIZZE'!$A$4:$A$110)</f>
        <v>0</v>
      </c>
      <c r="D60" s="38"/>
      <c r="E60" s="57" t="str">
        <f t="shared" si="1"/>
        <v/>
      </c>
      <c r="F60" s="58" t="str">
        <f t="shared" si="2"/>
        <v/>
      </c>
      <c r="G60" s="55">
        <f t="shared" si="3"/>
        <v>0</v>
      </c>
      <c r="H60" s="59">
        <f>countif('MENU PIZZE'!$E$4:$L$110,B60)</f>
        <v>1</v>
      </c>
      <c r="I60" s="26" t="str">
        <f>IFERROR(VLOOKUP(B60,'Ricette dei preparati'!B:D,3,FALSE),"")</f>
        <v/>
      </c>
    </row>
    <row r="61" ht="15.75" customHeight="1">
      <c r="A61" s="53" t="s">
        <v>333</v>
      </c>
      <c r="B61" s="65" t="s">
        <v>185</v>
      </c>
      <c r="C61" s="55">
        <f>SUMIF('MENU PIZZE'!$E$4:$E$110,B61,'MENU PIZZE'!$A$4:$A$110)+SUMIF('MENU PIZZE'!$F$4:$F$110,B61,'MENU PIZZE'!$A$4:$A$110)+SUMIF('MENU PIZZE'!$G$4:$G$110,B61,'MENU PIZZE'!$A$4:$A$110)+SUMIF('MENU PIZZE'!$H$4:$H$110,B61,'MENU PIZZE'!$A$4:$A$110)+SUMIF('MENU PIZZE'!$I$4:$I$110,B61,'MENU PIZZE'!$A$4:$A$110)+SUMIF('MENU PIZZE'!$J$4:$J$110,B61,'MENU PIZZE'!$A$4:$A$110)+SUMIF('MENU PIZZE'!$K$4:$K$110,B61,'MENU PIZZE'!$A$4:$A$110)+SUMIF('MENU PIZZE'!$L$4:$L$110,B61,'MENU PIZZE'!$A$4:$A$110)</f>
        <v>0</v>
      </c>
      <c r="D61" s="38"/>
      <c r="E61" s="57" t="str">
        <f t="shared" si="1"/>
        <v/>
      </c>
      <c r="F61" s="58" t="str">
        <f t="shared" si="2"/>
        <v/>
      </c>
      <c r="G61" s="55">
        <f t="shared" si="3"/>
        <v>0</v>
      </c>
      <c r="H61" s="59">
        <f>countif('MENU PIZZE'!$E$4:$L$110,B61)</f>
        <v>1</v>
      </c>
      <c r="I61" s="26" t="str">
        <f>IFERROR(VLOOKUP(B61,'Ricette dei preparati'!B:D,3,FALSE),"")</f>
        <v/>
      </c>
    </row>
    <row r="62" ht="15.75" customHeight="1">
      <c r="A62" s="53" t="s">
        <v>333</v>
      </c>
      <c r="B62" s="54" t="s">
        <v>53</v>
      </c>
      <c r="C62" s="55">
        <f>SUMIF('MENU PIZZE'!$E$4:$E$110,B62,'MENU PIZZE'!$A$4:$A$110)+SUMIF('MENU PIZZE'!$F$4:$F$110,B62,'MENU PIZZE'!$A$4:$A$110)+SUMIF('MENU PIZZE'!$G$4:$G$110,B62,'MENU PIZZE'!$A$4:$A$110)+SUMIF('MENU PIZZE'!$H$4:$H$110,B62,'MENU PIZZE'!$A$4:$A$110)+SUMIF('MENU PIZZE'!$I$4:$I$110,B62,'MENU PIZZE'!$A$4:$A$110)+SUMIF('MENU PIZZE'!$J$4:$J$110,B62,'MENU PIZZE'!$A$4:$A$110)+SUMIF('MENU PIZZE'!$K$4:$K$110,B62,'MENU PIZZE'!$A$4:$A$110)+SUMIF('MENU PIZZE'!$L$4:$L$110,B62,'MENU PIZZE'!$A$4:$A$110)</f>
        <v>0</v>
      </c>
      <c r="D62" s="20"/>
      <c r="E62" s="57" t="str">
        <f t="shared" si="1"/>
        <v/>
      </c>
      <c r="F62" s="58" t="str">
        <f t="shared" si="2"/>
        <v/>
      </c>
      <c r="G62" s="55">
        <f t="shared" si="3"/>
        <v>0</v>
      </c>
      <c r="H62" s="59">
        <f>countif('MENU PIZZE'!$E$4:$L$110,B62)</f>
        <v>13</v>
      </c>
      <c r="I62" s="26" t="str">
        <f>IFERROR(VLOOKUP(B62,'Ricette dei preparati'!B:D,3,FALSE),"")</f>
        <v/>
      </c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</row>
    <row r="63" ht="15.75" customHeight="1">
      <c r="A63" s="53" t="s">
        <v>333</v>
      </c>
      <c r="B63" s="54" t="s">
        <v>201</v>
      </c>
      <c r="C63" s="55">
        <f>SUMIF('MENU PIZZE'!$E$4:$E$110,B63,'MENU PIZZE'!$A$4:$A$110)+SUMIF('MENU PIZZE'!$F$4:$F$110,B63,'MENU PIZZE'!$A$4:$A$110)+SUMIF('MENU PIZZE'!$G$4:$G$110,B63,'MENU PIZZE'!$A$4:$A$110)+SUMIF('MENU PIZZE'!$H$4:$H$110,B63,'MENU PIZZE'!$A$4:$A$110)+SUMIF('MENU PIZZE'!$I$4:$I$110,B63,'MENU PIZZE'!$A$4:$A$110)+SUMIF('MENU PIZZE'!$J$4:$J$110,B63,'MENU PIZZE'!$A$4:$A$110)+SUMIF('MENU PIZZE'!$K$4:$K$110,B63,'MENU PIZZE'!$A$4:$A$110)+SUMIF('MENU PIZZE'!$L$4:$L$110,B63,'MENU PIZZE'!$A$4:$A$110)</f>
        <v>0</v>
      </c>
      <c r="D63" s="38"/>
      <c r="E63" s="57" t="str">
        <f t="shared" si="1"/>
        <v/>
      </c>
      <c r="F63" s="58" t="str">
        <f t="shared" si="2"/>
        <v/>
      </c>
      <c r="G63" s="55">
        <f t="shared" si="3"/>
        <v>0</v>
      </c>
      <c r="H63" s="59">
        <f>countif('MENU PIZZE'!$E$4:$L$110,B63)</f>
        <v>6</v>
      </c>
      <c r="I63" s="26" t="str">
        <f>IFERROR(VLOOKUP(B63,'Ricette dei preparati'!B:D,3,FALSE),"")</f>
        <v/>
      </c>
    </row>
    <row r="64" ht="15.75" customHeight="1">
      <c r="A64" s="53" t="s">
        <v>333</v>
      </c>
      <c r="B64" s="62" t="s">
        <v>170</v>
      </c>
      <c r="C64" s="55">
        <f>SUMIF('MENU PIZZE'!$E$4:$E$110,B64,'MENU PIZZE'!$A$4:$A$110)+SUMIF('MENU PIZZE'!$F$4:$F$110,B64,'MENU PIZZE'!$A$4:$A$110)+SUMIF('MENU PIZZE'!$G$4:$G$110,B64,'MENU PIZZE'!$A$4:$A$110)+SUMIF('MENU PIZZE'!$H$4:$H$110,B64,'MENU PIZZE'!$A$4:$A$110)+SUMIF('MENU PIZZE'!$I$4:$I$110,B64,'MENU PIZZE'!$A$4:$A$110)+SUMIF('MENU PIZZE'!$J$4:$J$110,B64,'MENU PIZZE'!$A$4:$A$110)+SUMIF('MENU PIZZE'!$K$4:$K$110,B64,'MENU PIZZE'!$A$4:$A$110)+SUMIF('MENU PIZZE'!$L$4:$L$110,B64,'MENU PIZZE'!$A$4:$A$110)</f>
        <v>0</v>
      </c>
      <c r="D64" s="20"/>
      <c r="E64" s="57" t="str">
        <f t="shared" si="1"/>
        <v/>
      </c>
      <c r="F64" s="58" t="str">
        <f t="shared" si="2"/>
        <v/>
      </c>
      <c r="G64" s="55">
        <f t="shared" si="3"/>
        <v>0</v>
      </c>
      <c r="H64" s="59">
        <f>countif('MENU PIZZE'!$E$4:$L$110,B64)</f>
        <v>2</v>
      </c>
      <c r="I64" s="26" t="str">
        <f>IFERROR(VLOOKUP(B64,'Ricette dei preparati'!B:D,3,FALSE),"")</f>
        <v/>
      </c>
    </row>
    <row r="65" ht="15.75" customHeight="1">
      <c r="A65" s="53" t="s">
        <v>333</v>
      </c>
      <c r="B65" s="54" t="s">
        <v>299</v>
      </c>
      <c r="C65" s="55">
        <f>SUMIF('MENU PIZZE'!$E$4:$E$110,B65,'MENU PIZZE'!$A$4:$A$110)+SUMIF('MENU PIZZE'!$F$4:$F$110,B65,'MENU PIZZE'!$A$4:$A$110)+SUMIF('MENU PIZZE'!$G$4:$G$110,B65,'MENU PIZZE'!$A$4:$A$110)+SUMIF('MENU PIZZE'!$H$4:$H$110,B65,'MENU PIZZE'!$A$4:$A$110)+SUMIF('MENU PIZZE'!$I$4:$I$110,B65,'MENU PIZZE'!$A$4:$A$110)+SUMIF('MENU PIZZE'!$J$4:$J$110,B65,'MENU PIZZE'!$A$4:$A$110)+SUMIF('MENU PIZZE'!$K$4:$K$110,B65,'MENU PIZZE'!$A$4:$A$110)+SUMIF('MENU PIZZE'!$L$4:$L$110,B65,'MENU PIZZE'!$A$4:$A$110)</f>
        <v>0</v>
      </c>
      <c r="D65" s="38"/>
      <c r="E65" s="57" t="str">
        <f t="shared" si="1"/>
        <v/>
      </c>
      <c r="F65" s="58" t="str">
        <f t="shared" si="2"/>
        <v/>
      </c>
      <c r="G65" s="55">
        <f t="shared" si="3"/>
        <v>0</v>
      </c>
      <c r="H65" s="59">
        <f>countif('MENU PIZZE'!$E$4:$L$110,B65)</f>
        <v>1</v>
      </c>
      <c r="I65" s="26" t="str">
        <f>IFERROR(VLOOKUP(B65,'Ricette dei preparati'!B:D,3,FALSE),"")</f>
        <v/>
      </c>
    </row>
    <row r="66" ht="15.75" customHeight="1">
      <c r="A66" s="53" t="s">
        <v>333</v>
      </c>
      <c r="B66" s="54" t="s">
        <v>305</v>
      </c>
      <c r="C66" s="55">
        <f>SUMIF('MENU PIZZE'!$E$4:$E$110,B66,'MENU PIZZE'!$A$4:$A$110)+SUMIF('MENU PIZZE'!$F$4:$F$110,B66,'MENU PIZZE'!$A$4:$A$110)+SUMIF('MENU PIZZE'!$G$4:$G$110,B66,'MENU PIZZE'!$A$4:$A$110)+SUMIF('MENU PIZZE'!$H$4:$H$110,B66,'MENU PIZZE'!$A$4:$A$110)+SUMIF('MENU PIZZE'!$I$4:$I$110,B66,'MENU PIZZE'!$A$4:$A$110)+SUMIF('MENU PIZZE'!$J$4:$J$110,B66,'MENU PIZZE'!$A$4:$A$110)+SUMIF('MENU PIZZE'!$K$4:$K$110,B66,'MENU PIZZE'!$A$4:$A$110)+SUMIF('MENU PIZZE'!$L$4:$L$110,B66,'MENU PIZZE'!$A$4:$A$110)</f>
        <v>0</v>
      </c>
      <c r="D66" s="38"/>
      <c r="E66" s="57" t="str">
        <f t="shared" si="1"/>
        <v/>
      </c>
      <c r="F66" s="58" t="str">
        <f t="shared" si="2"/>
        <v/>
      </c>
      <c r="G66" s="55">
        <f t="shared" si="3"/>
        <v>0</v>
      </c>
      <c r="H66" s="59">
        <f>countif('MENU PIZZE'!$E$4:$L$110,B66)</f>
        <v>2</v>
      </c>
      <c r="I66" s="26" t="str">
        <f>IFERROR(VLOOKUP(B66,'Ricette dei preparati'!B:D,3,FALSE),"")</f>
        <v/>
      </c>
    </row>
    <row r="67" ht="15.75" customHeight="1">
      <c r="A67" s="53" t="s">
        <v>333</v>
      </c>
      <c r="B67" s="62" t="s">
        <v>91</v>
      </c>
      <c r="C67" s="55">
        <f>SUMIF('MENU PIZZE'!$E$4:$E$110,B67,'MENU PIZZE'!$A$4:$A$110)+SUMIF('MENU PIZZE'!$F$4:$F$110,B67,'MENU PIZZE'!$A$4:$A$110)+SUMIF('MENU PIZZE'!$G$4:$G$110,B67,'MENU PIZZE'!$A$4:$A$110)+SUMIF('MENU PIZZE'!$H$4:$H$110,B67,'MENU PIZZE'!$A$4:$A$110)+SUMIF('MENU PIZZE'!$I$4:$I$110,B67,'MENU PIZZE'!$A$4:$A$110)+SUMIF('MENU PIZZE'!$J$4:$J$110,B67,'MENU PIZZE'!$A$4:$A$110)+SUMIF('MENU PIZZE'!$K$4:$K$110,B67,'MENU PIZZE'!$A$4:$A$110)+SUMIF('MENU PIZZE'!$L$4:$L$110,B67,'MENU PIZZE'!$A$4:$A$110)</f>
        <v>0</v>
      </c>
      <c r="D67" s="63"/>
      <c r="E67" s="57" t="str">
        <f t="shared" si="1"/>
        <v/>
      </c>
      <c r="F67" s="58" t="str">
        <f t="shared" si="2"/>
        <v/>
      </c>
      <c r="G67" s="55">
        <f t="shared" si="3"/>
        <v>0</v>
      </c>
      <c r="H67" s="59">
        <f>countif('MENU PIZZE'!$E$4:$L$110,B67)</f>
        <v>1</v>
      </c>
      <c r="I67" s="26" t="str">
        <f>IFERROR(VLOOKUP(B67,'Ricette dei preparati'!B:D,3,FALSE),"")</f>
        <v>Patate, Verza, Burro, Aglio, Parmigiano</v>
      </c>
    </row>
    <row r="68" ht="15.75" customHeight="1">
      <c r="A68" s="53" t="s">
        <v>333</v>
      </c>
      <c r="B68" s="54" t="s">
        <v>63</v>
      </c>
      <c r="C68" s="55">
        <f>SUMIF('MENU PIZZE'!$E$4:$E$110,B68,'MENU PIZZE'!$A$4:$A$110)+SUMIF('MENU PIZZE'!$F$4:$F$110,B68,'MENU PIZZE'!$A$4:$A$110)+SUMIF('MENU PIZZE'!$G$4:$G$110,B68,'MENU PIZZE'!$A$4:$A$110)+SUMIF('MENU PIZZE'!$H$4:$H$110,B68,'MENU PIZZE'!$A$4:$A$110)+SUMIF('MENU PIZZE'!$I$4:$I$110,B68,'MENU PIZZE'!$A$4:$A$110)+SUMIF('MENU PIZZE'!$J$4:$J$110,B68,'MENU PIZZE'!$A$4:$A$110)+SUMIF('MENU PIZZE'!$K$4:$K$110,B68,'MENU PIZZE'!$A$4:$A$110)+SUMIF('MENU PIZZE'!$L$4:$L$110,B68,'MENU PIZZE'!$A$4:$A$110)</f>
        <v>0</v>
      </c>
      <c r="D68" s="38"/>
      <c r="E68" s="57" t="str">
        <f t="shared" si="1"/>
        <v/>
      </c>
      <c r="F68" s="58" t="str">
        <f t="shared" si="2"/>
        <v/>
      </c>
      <c r="G68" s="55">
        <f t="shared" si="3"/>
        <v>0</v>
      </c>
      <c r="H68" s="59">
        <f>countif('MENU PIZZE'!$E$4:$L$110,B68)</f>
        <v>3</v>
      </c>
      <c r="I68" s="26" t="str">
        <f>IFERROR(VLOOKUP(B68,'Ricette dei preparati'!B:D,3,FALSE),"")</f>
        <v/>
      </c>
    </row>
    <row r="69" ht="15.75" customHeight="1">
      <c r="A69" s="53" t="s">
        <v>337</v>
      </c>
      <c r="B69" s="54" t="s">
        <v>104</v>
      </c>
      <c r="C69" s="55">
        <f>SUMIF('MENU PIZZE'!$E$4:$E$110,B69,'MENU PIZZE'!$A$4:$A$110)+SUMIF('MENU PIZZE'!$F$4:$F$110,B69,'MENU PIZZE'!$A$4:$A$110)+SUMIF('MENU PIZZE'!$G$4:$G$110,B69,'MENU PIZZE'!$A$4:$A$110)+SUMIF('MENU PIZZE'!$H$4:$H$110,B69,'MENU PIZZE'!$A$4:$A$110)+SUMIF('MENU PIZZE'!$I$4:$I$110,B69,'MENU PIZZE'!$A$4:$A$110)+SUMIF('MENU PIZZE'!$J$4:$J$110,B69,'MENU PIZZE'!$A$4:$A$110)+SUMIF('MENU PIZZE'!$K$4:$K$110,B69,'MENU PIZZE'!$A$4:$A$110)+SUMIF('MENU PIZZE'!$L$4:$L$110,B69,'MENU PIZZE'!$A$4:$A$110)</f>
        <v>0</v>
      </c>
      <c r="D69" s="20"/>
      <c r="E69" s="57" t="str">
        <f t="shared" si="1"/>
        <v/>
      </c>
      <c r="F69" s="58" t="str">
        <f t="shared" si="2"/>
        <v/>
      </c>
      <c r="G69" s="55">
        <f t="shared" si="3"/>
        <v>0</v>
      </c>
      <c r="H69" s="59">
        <f>countif('MENU PIZZE'!$E$4:$L$110,B69)</f>
        <v>8</v>
      </c>
      <c r="I69" s="26" t="str">
        <f>IFERROR(VLOOKUP(B69,'Ricette dei preparati'!B:D,3,FALSE),"")</f>
        <v/>
      </c>
    </row>
    <row r="70" ht="15.75" customHeight="1">
      <c r="A70" s="53" t="s">
        <v>337</v>
      </c>
      <c r="B70" s="54" t="s">
        <v>229</v>
      </c>
      <c r="C70" s="55">
        <f>SUMIF('MENU PIZZE'!$E$4:$E$110,B70,'MENU PIZZE'!$A$4:$A$110)+SUMIF('MENU PIZZE'!$F$4:$F$110,B70,'MENU PIZZE'!$A$4:$A$110)+SUMIF('MENU PIZZE'!$G$4:$G$110,B70,'MENU PIZZE'!$A$4:$A$110)+SUMIF('MENU PIZZE'!$H$4:$H$110,B70,'MENU PIZZE'!$A$4:$A$110)+SUMIF('MENU PIZZE'!$I$4:$I$110,B70,'MENU PIZZE'!$A$4:$A$110)+SUMIF('MENU PIZZE'!$J$4:$J$110,B70,'MENU PIZZE'!$A$4:$A$110)+SUMIF('MENU PIZZE'!$K$4:$K$110,B70,'MENU PIZZE'!$A$4:$A$110)+SUMIF('MENU PIZZE'!$L$4:$L$110,B70,'MENU PIZZE'!$A$4:$A$110)</f>
        <v>0</v>
      </c>
      <c r="D70" s="38"/>
      <c r="E70" s="57" t="str">
        <f t="shared" si="1"/>
        <v/>
      </c>
      <c r="F70" s="58" t="str">
        <f t="shared" si="2"/>
        <v/>
      </c>
      <c r="G70" s="55">
        <f t="shared" si="3"/>
        <v>0</v>
      </c>
      <c r="H70" s="59">
        <f>countif('MENU PIZZE'!$E$4:$L$110,B70)</f>
        <v>2</v>
      </c>
      <c r="I70" s="26" t="str">
        <f>IFERROR(VLOOKUP(B70,'Ricette dei preparati'!B:D,3,FALSE),"")</f>
        <v/>
      </c>
    </row>
    <row r="71" ht="15.75" customHeight="1">
      <c r="A71" s="53" t="s">
        <v>337</v>
      </c>
      <c r="B71" s="62" t="s">
        <v>166</v>
      </c>
      <c r="C71" s="55">
        <f>SUMIF('MENU PIZZE'!$E$4:$E$110,B71,'MENU PIZZE'!$A$4:$A$110)+SUMIF('MENU PIZZE'!$F$4:$F$110,B71,'MENU PIZZE'!$A$4:$A$110)+SUMIF('MENU PIZZE'!$G$4:$G$110,B71,'MENU PIZZE'!$A$4:$A$110)+SUMIF('MENU PIZZE'!$H$4:$H$110,B71,'MENU PIZZE'!$A$4:$A$110)+SUMIF('MENU PIZZE'!$I$4:$I$110,B71,'MENU PIZZE'!$A$4:$A$110)+SUMIF('MENU PIZZE'!$J$4:$J$110,B71,'MENU PIZZE'!$A$4:$A$110)+SUMIF('MENU PIZZE'!$K$4:$K$110,B71,'MENU PIZZE'!$A$4:$A$110)+SUMIF('MENU PIZZE'!$L$4:$L$110,B71,'MENU PIZZE'!$A$4:$A$110)</f>
        <v>0</v>
      </c>
      <c r="D71" s="38"/>
      <c r="E71" s="57" t="str">
        <f t="shared" si="1"/>
        <v/>
      </c>
      <c r="F71" s="58" t="str">
        <f t="shared" si="2"/>
        <v/>
      </c>
      <c r="G71" s="55">
        <f t="shared" si="3"/>
        <v>0</v>
      </c>
      <c r="H71" s="59">
        <f>countif('MENU PIZZE'!$E$4:$L$110,B71)</f>
        <v>1</v>
      </c>
      <c r="I71" s="26" t="str">
        <f>IFERROR(VLOOKUP(B71,'Ricette dei preparati'!B:D,3,FALSE),"")</f>
        <v/>
      </c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</row>
    <row r="72" ht="15.75" customHeight="1">
      <c r="A72" s="53" t="s">
        <v>337</v>
      </c>
      <c r="B72" s="54" t="s">
        <v>231</v>
      </c>
      <c r="C72" s="55">
        <f>SUMIF('MENU PIZZE'!$E$4:$E$110,B72,'MENU PIZZE'!$A$4:$A$110)+SUMIF('MENU PIZZE'!$F$4:$F$110,B72,'MENU PIZZE'!$A$4:$A$110)+SUMIF('MENU PIZZE'!$G$4:$G$110,B72,'MENU PIZZE'!$A$4:$A$110)+SUMIF('MENU PIZZE'!$H$4:$H$110,B72,'MENU PIZZE'!$A$4:$A$110)+SUMIF('MENU PIZZE'!$I$4:$I$110,B72,'MENU PIZZE'!$A$4:$A$110)+SUMIF('MENU PIZZE'!$J$4:$J$110,B72,'MENU PIZZE'!$A$4:$A$110)+SUMIF('MENU PIZZE'!$K$4:$K$110,B72,'MENU PIZZE'!$A$4:$A$110)+SUMIF('MENU PIZZE'!$L$4:$L$110,B72,'MENU PIZZE'!$A$4:$A$110)</f>
        <v>0</v>
      </c>
      <c r="D72" s="67"/>
      <c r="E72" s="57" t="str">
        <f t="shared" si="1"/>
        <v/>
      </c>
      <c r="F72" s="58" t="str">
        <f t="shared" si="2"/>
        <v/>
      </c>
      <c r="G72" s="55">
        <f t="shared" si="3"/>
        <v>0</v>
      </c>
      <c r="H72" s="59">
        <f>countif('MENU PIZZE'!$E$4:$L$110,B72)</f>
        <v>3</v>
      </c>
      <c r="I72" s="26" t="str">
        <f>IFERROR(VLOOKUP(B72,'Ricette dei preparati'!B:D,3,FALSE),"")</f>
        <v/>
      </c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</row>
    <row r="73" ht="15.75" customHeight="1">
      <c r="A73" s="53" t="s">
        <v>337</v>
      </c>
      <c r="B73" s="62" t="s">
        <v>114</v>
      </c>
      <c r="C73" s="55">
        <f>SUMIF('MENU PIZZE'!$E$4:$E$110,B73,'MENU PIZZE'!$A$4:$A$110)+SUMIF('MENU PIZZE'!$F$4:$F$110,B73,'MENU PIZZE'!$A$4:$A$110)+SUMIF('MENU PIZZE'!$G$4:$G$110,B73,'MENU PIZZE'!$A$4:$A$110)+SUMIF('MENU PIZZE'!$H$4:$H$110,B73,'MENU PIZZE'!$A$4:$A$110)+SUMIF('MENU PIZZE'!$I$4:$I$110,B73,'MENU PIZZE'!$A$4:$A$110)+SUMIF('MENU PIZZE'!$J$4:$J$110,B73,'MENU PIZZE'!$A$4:$A$110)+SUMIF('MENU PIZZE'!$K$4:$K$110,B73,'MENU PIZZE'!$A$4:$A$110)+SUMIF('MENU PIZZE'!$L$4:$L$110,B73,'MENU PIZZE'!$A$4:$A$110)</f>
        <v>0</v>
      </c>
      <c r="D73" s="67"/>
      <c r="E73" s="57" t="str">
        <f t="shared" si="1"/>
        <v/>
      </c>
      <c r="F73" s="58" t="str">
        <f t="shared" si="2"/>
        <v/>
      </c>
      <c r="G73" s="55">
        <f t="shared" si="3"/>
        <v>0</v>
      </c>
      <c r="H73" s="59">
        <f>countif('MENU PIZZE'!$E$4:$L$110,B73)</f>
        <v>1</v>
      </c>
      <c r="I73" s="26" t="str">
        <f>IFERROR(VLOOKUP(B73,'Ricette dei preparati'!B:D,3,FALSE),"")</f>
        <v/>
      </c>
    </row>
    <row r="74" ht="15.75" customHeight="1">
      <c r="A74" s="53" t="s">
        <v>337</v>
      </c>
      <c r="B74" s="54" t="s">
        <v>282</v>
      </c>
      <c r="C74" s="55">
        <f>SUMIF('MENU PIZZE'!$E$4:$E$110,B74,'MENU PIZZE'!$A$4:$A$110)+SUMIF('MENU PIZZE'!$F$4:$F$110,B74,'MENU PIZZE'!$A$4:$A$110)+SUMIF('MENU PIZZE'!$G$4:$G$110,B74,'MENU PIZZE'!$A$4:$A$110)+SUMIF('MENU PIZZE'!$H$4:$H$110,B74,'MENU PIZZE'!$A$4:$A$110)+SUMIF('MENU PIZZE'!$I$4:$I$110,B74,'MENU PIZZE'!$A$4:$A$110)+SUMIF('MENU PIZZE'!$J$4:$J$110,B74,'MENU PIZZE'!$A$4:$A$110)+SUMIF('MENU PIZZE'!$K$4:$K$110,B74,'MENU PIZZE'!$A$4:$A$110)+SUMIF('MENU PIZZE'!$L$4:$L$110,B74,'MENU PIZZE'!$A$4:$A$110)</f>
        <v>0</v>
      </c>
      <c r="D74" s="67"/>
      <c r="E74" s="57" t="str">
        <f t="shared" si="1"/>
        <v/>
      </c>
      <c r="F74" s="58" t="str">
        <f t="shared" si="2"/>
        <v/>
      </c>
      <c r="G74" s="55">
        <f t="shared" si="3"/>
        <v>0</v>
      </c>
      <c r="H74" s="59">
        <f>COUNTIF('MENU PIZZE'!$E$4:$L$110,B74)</f>
        <v>1</v>
      </c>
      <c r="I74" s="26" t="str">
        <f>IFERROR(VLOOKUP(B74,'Ricette dei preparati'!B:D,3,FALSE),"")</f>
        <v/>
      </c>
    </row>
    <row r="75" ht="15.75" customHeight="1">
      <c r="A75" s="53" t="s">
        <v>337</v>
      </c>
      <c r="B75" s="54" t="s">
        <v>248</v>
      </c>
      <c r="C75" s="55">
        <f>SUMIF('MENU PIZZE'!$E$4:$E$110,B75,'MENU PIZZE'!$A$4:$A$110)+SUMIF('MENU PIZZE'!$F$4:$F$110,B75,'MENU PIZZE'!$A$4:$A$110)+SUMIF('MENU PIZZE'!$G$4:$G$110,B75,'MENU PIZZE'!$A$4:$A$110)+SUMIF('MENU PIZZE'!$H$4:$H$110,B75,'MENU PIZZE'!$A$4:$A$110)+SUMIF('MENU PIZZE'!$I$4:$I$110,B75,'MENU PIZZE'!$A$4:$A$110)+SUMIF('MENU PIZZE'!$J$4:$J$110,B75,'MENU PIZZE'!$A$4:$A$110)+SUMIF('MENU PIZZE'!$K$4:$K$110,B75,'MENU PIZZE'!$A$4:$A$110)+SUMIF('MENU PIZZE'!$L$4:$L$110,B75,'MENU PIZZE'!$A$4:$A$110)</f>
        <v>0</v>
      </c>
      <c r="D75" s="38"/>
      <c r="E75" s="57" t="str">
        <f t="shared" si="1"/>
        <v/>
      </c>
      <c r="F75" s="58" t="str">
        <f t="shared" si="2"/>
        <v/>
      </c>
      <c r="G75" s="55">
        <f t="shared" si="3"/>
        <v>0</v>
      </c>
      <c r="H75" s="59">
        <f>countif('MENU PIZZE'!$E$4:$L$110,B75)</f>
        <v>3</v>
      </c>
      <c r="I75" s="26" t="str">
        <f>IFERROR(VLOOKUP(B75,'Ricette dei preparati'!B:D,3,FALSE),"")</f>
        <v/>
      </c>
    </row>
    <row r="76" ht="15.75" customHeight="1">
      <c r="A76" s="53" t="s">
        <v>338</v>
      </c>
      <c r="B76" s="54" t="s">
        <v>164</v>
      </c>
      <c r="C76" s="55">
        <f>SUMIF('MENU PIZZE'!$E$4:$E$110,B76,'MENU PIZZE'!$A$4:$A$110)+SUMIF('MENU PIZZE'!$F$4:$F$110,B76,'MENU PIZZE'!$A$4:$A$110)+SUMIF('MENU PIZZE'!$G$4:$G$110,B76,'MENU PIZZE'!$A$4:$A$110)+SUMIF('MENU PIZZE'!$H$4:$H$110,B76,'MENU PIZZE'!$A$4:$A$110)+SUMIF('MENU PIZZE'!$I$4:$I$110,B76,'MENU PIZZE'!$A$4:$A$110)+SUMIF('MENU PIZZE'!$J$4:$J$110,B76,'MENU PIZZE'!$A$4:$A$110)+SUMIF('MENU PIZZE'!$K$4:$K$110,B76,'MENU PIZZE'!$A$4:$A$110)+SUMIF('MENU PIZZE'!$L$4:$L$110,B76,'MENU PIZZE'!$A$4:$A$110)</f>
        <v>0</v>
      </c>
      <c r="D76" s="38"/>
      <c r="E76" s="57" t="str">
        <f t="shared" si="1"/>
        <v/>
      </c>
      <c r="F76" s="58" t="str">
        <f t="shared" si="2"/>
        <v/>
      </c>
      <c r="G76" s="55">
        <f t="shared" si="3"/>
        <v>0</v>
      </c>
      <c r="H76" s="59">
        <f>countif('MENU PIZZE'!$E$4:$L$110,B76)</f>
        <v>3</v>
      </c>
      <c r="I76" s="26" t="str">
        <f>IFERROR(VLOOKUP(B76,'Ricette dei preparati'!B:D,3,FALSE),"")</f>
        <v/>
      </c>
    </row>
    <row r="77" ht="15.75" customHeight="1">
      <c r="A77" s="53" t="s">
        <v>338</v>
      </c>
      <c r="B77" s="54" t="s">
        <v>316</v>
      </c>
      <c r="C77" s="55">
        <f>SUMIF('MENU PIZZE'!$E$4:$E$110,B77,'MENU PIZZE'!$A$4:$A$110)+SUMIF('MENU PIZZE'!$F$4:$F$110,B77,'MENU PIZZE'!$A$4:$A$110)+SUMIF('MENU PIZZE'!$G$4:$G$110,B77,'MENU PIZZE'!$A$4:$A$110)+SUMIF('MENU PIZZE'!$H$4:$H$110,B77,'MENU PIZZE'!$A$4:$A$110)+SUMIF('MENU PIZZE'!$I$4:$I$110,B77,'MENU PIZZE'!$A$4:$A$110)+SUMIF('MENU PIZZE'!$J$4:$J$110,B77,'MENU PIZZE'!$A$4:$A$110)+SUMIF('MENU PIZZE'!$K$4:$K$110,B77,'MENU PIZZE'!$A$4:$A$110)+SUMIF('MENU PIZZE'!$L$4:$L$110,B77,'MENU PIZZE'!$A$4:$A$110)</f>
        <v>0</v>
      </c>
      <c r="D77" s="38"/>
      <c r="E77" s="57" t="str">
        <f t="shared" si="1"/>
        <v/>
      </c>
      <c r="F77" s="58" t="str">
        <f t="shared" si="2"/>
        <v/>
      </c>
      <c r="G77" s="55">
        <f t="shared" si="3"/>
        <v>0</v>
      </c>
      <c r="H77" s="64">
        <f>COUNTIF('MENU PIZZE'!$E$4:$L$110,B77)</f>
        <v>2</v>
      </c>
      <c r="I77" s="26" t="str">
        <f>IFERROR(VLOOKUP(B77,'Ricette dei preparati'!B:D,3,FALSE),"")</f>
        <v/>
      </c>
    </row>
    <row r="78" ht="15.75" customHeight="1">
      <c r="A78" s="53" t="s">
        <v>338</v>
      </c>
      <c r="B78" s="54" t="s">
        <v>296</v>
      </c>
      <c r="C78" s="55">
        <f>SUMIF('MENU PIZZE'!$E$4:$E$110,B78,'MENU PIZZE'!$A$4:$A$110)+SUMIF('MENU PIZZE'!$F$4:$F$110,B78,'MENU PIZZE'!$A$4:$A$110)+SUMIF('MENU PIZZE'!$G$4:$G$110,B78,'MENU PIZZE'!$A$4:$A$110)+SUMIF('MENU PIZZE'!$H$4:$H$110,B78,'MENU PIZZE'!$A$4:$A$110)+SUMIF('MENU PIZZE'!$I$4:$I$110,B78,'MENU PIZZE'!$A$4:$A$110)+SUMIF('MENU PIZZE'!$J$4:$J$110,B78,'MENU PIZZE'!$A$4:$A$110)+SUMIF('MENU PIZZE'!$K$4:$K$110,B78,'MENU PIZZE'!$A$4:$A$110)+SUMIF('MENU PIZZE'!$L$4:$L$110,B78,'MENU PIZZE'!$A$4:$A$110)</f>
        <v>0</v>
      </c>
      <c r="D78" s="38"/>
      <c r="E78" s="57" t="str">
        <f t="shared" si="1"/>
        <v/>
      </c>
      <c r="F78" s="58" t="str">
        <f t="shared" si="2"/>
        <v/>
      </c>
      <c r="G78" s="55">
        <f t="shared" si="3"/>
        <v>0</v>
      </c>
      <c r="H78" s="59">
        <f>countif('MENU PIZZE'!$E$4:$L$110,B78)</f>
        <v>2</v>
      </c>
      <c r="I78" s="26" t="str">
        <f>IFERROR(VLOOKUP(B78,'Ricette dei preparati'!B:D,3,FALSE),"")</f>
        <v/>
      </c>
    </row>
    <row r="79" ht="15.75" customHeight="1">
      <c r="A79" s="53" t="s">
        <v>338</v>
      </c>
      <c r="B79" s="54" t="s">
        <v>249</v>
      </c>
      <c r="C79" s="55">
        <f>SUMIF('MENU PIZZE'!$E$4:$E$110,B79,'MENU PIZZE'!$A$4:$A$110)+SUMIF('MENU PIZZE'!$F$4:$F$110,B79,'MENU PIZZE'!$A$4:$A$110)+SUMIF('MENU PIZZE'!$G$4:$G$110,B79,'MENU PIZZE'!$A$4:$A$110)+SUMIF('MENU PIZZE'!$H$4:$H$110,B79,'MENU PIZZE'!$A$4:$A$110)+SUMIF('MENU PIZZE'!$I$4:$I$110,B79,'MENU PIZZE'!$A$4:$A$110)+SUMIF('MENU PIZZE'!$J$4:$J$110,B79,'MENU PIZZE'!$A$4:$A$110)+SUMIF('MENU PIZZE'!$K$4:$K$110,B79,'MENU PIZZE'!$A$4:$A$110)+SUMIF('MENU PIZZE'!$L$4:$L$110,B79,'MENU PIZZE'!$A$4:$A$110)</f>
        <v>0</v>
      </c>
      <c r="D79" s="38"/>
      <c r="E79" s="57" t="str">
        <f t="shared" si="1"/>
        <v/>
      </c>
      <c r="F79" s="58" t="str">
        <f t="shared" si="2"/>
        <v/>
      </c>
      <c r="G79" s="55">
        <f t="shared" si="3"/>
        <v>0</v>
      </c>
      <c r="H79" s="59">
        <f>countif('MENU PIZZE'!$E$4:$L$110,B79)</f>
        <v>2</v>
      </c>
      <c r="I79" s="26" t="str">
        <f>IFERROR(VLOOKUP(B79,'Ricette dei preparati'!B:D,3,FALSE),"")</f>
        <v/>
      </c>
    </row>
    <row r="80" ht="15.75" customHeight="1">
      <c r="A80" s="53" t="s">
        <v>338</v>
      </c>
      <c r="B80" s="54" t="s">
        <v>260</v>
      </c>
      <c r="C80" s="55">
        <f>SUMIF('MENU PIZZE'!$E$4:$E$110,B80,'MENU PIZZE'!$A$4:$A$110)+SUMIF('MENU PIZZE'!$F$4:$F$110,B80,'MENU PIZZE'!$A$4:$A$110)+SUMIF('MENU PIZZE'!$G$4:$G$110,B80,'MENU PIZZE'!$A$4:$A$110)+SUMIF('MENU PIZZE'!$H$4:$H$110,B80,'MENU PIZZE'!$A$4:$A$110)+SUMIF('MENU PIZZE'!$I$4:$I$110,B80,'MENU PIZZE'!$A$4:$A$110)+SUMIF('MENU PIZZE'!$J$4:$J$110,B80,'MENU PIZZE'!$A$4:$A$110)+SUMIF('MENU PIZZE'!$K$4:$K$110,B80,'MENU PIZZE'!$A$4:$A$110)+SUMIF('MENU PIZZE'!$L$4:$L$110,B80,'MENU PIZZE'!$A$4:$A$110)</f>
        <v>0</v>
      </c>
      <c r="D80" s="67"/>
      <c r="E80" s="57" t="str">
        <f t="shared" si="1"/>
        <v/>
      </c>
      <c r="F80" s="58" t="str">
        <f t="shared" si="2"/>
        <v/>
      </c>
      <c r="G80" s="55">
        <f t="shared" si="3"/>
        <v>0</v>
      </c>
      <c r="H80" s="59">
        <f>countif('MENU PIZZE'!$E$4:$L$110,B80)</f>
        <v>1</v>
      </c>
      <c r="I80" s="26" t="str">
        <f>IFERROR(VLOOKUP(B80,'Ricette dei preparati'!B:D,3,FALSE),"")</f>
        <v/>
      </c>
    </row>
    <row r="81" ht="15.75" customHeight="1">
      <c r="A81" s="53" t="s">
        <v>338</v>
      </c>
      <c r="B81" s="62" t="s">
        <v>243</v>
      </c>
      <c r="C81" s="55">
        <f>SUMIF('MENU PIZZE'!$E$4:$E$110,B81,'MENU PIZZE'!$A$4:$A$110)+SUMIF('MENU PIZZE'!$F$4:$F$110,B81,'MENU PIZZE'!$A$4:$A$110)+SUMIF('MENU PIZZE'!$G$4:$G$110,B81,'MENU PIZZE'!$A$4:$A$110)+SUMIF('MENU PIZZE'!$H$4:$H$110,B81,'MENU PIZZE'!$A$4:$A$110)+SUMIF('MENU PIZZE'!$I$4:$I$110,B81,'MENU PIZZE'!$A$4:$A$110)+SUMIF('MENU PIZZE'!$J$4:$J$110,B81,'MENU PIZZE'!$A$4:$A$110)+SUMIF('MENU PIZZE'!$K$4:$K$110,B81,'MENU PIZZE'!$A$4:$A$110)+SUMIF('MENU PIZZE'!$L$4:$L$110,B81,'MENU PIZZE'!$A$4:$A$110)</f>
        <v>0</v>
      </c>
      <c r="D81" s="38"/>
      <c r="E81" s="57" t="str">
        <f t="shared" si="1"/>
        <v/>
      </c>
      <c r="F81" s="58" t="str">
        <f t="shared" si="2"/>
        <v/>
      </c>
      <c r="G81" s="55">
        <f t="shared" si="3"/>
        <v>0</v>
      </c>
      <c r="H81" s="59">
        <f>countif('MENU PIZZE'!$E$4:$L$110,B81)</f>
        <v>1</v>
      </c>
      <c r="I81" s="26" t="str">
        <f>IFERROR(VLOOKUP(B81,'Ricette dei preparati'!B:D,3,FALSE),"")</f>
        <v/>
      </c>
    </row>
    <row r="82" ht="15.75" customHeight="1">
      <c r="A82" s="53" t="s">
        <v>338</v>
      </c>
      <c r="B82" s="62" t="s">
        <v>172</v>
      </c>
      <c r="C82" s="55">
        <f>SUMIF('MENU PIZZE'!$E$4:$E$110,B82,'MENU PIZZE'!$A$4:$A$110)+SUMIF('MENU PIZZE'!$F$4:$F$110,B82,'MENU PIZZE'!$A$4:$A$110)+SUMIF('MENU PIZZE'!$G$4:$G$110,B82,'MENU PIZZE'!$A$4:$A$110)+SUMIF('MENU PIZZE'!$H$4:$H$110,B82,'MENU PIZZE'!$A$4:$A$110)+SUMIF('MENU PIZZE'!$I$4:$I$110,B82,'MENU PIZZE'!$A$4:$A$110)+SUMIF('MENU PIZZE'!$J$4:$J$110,B82,'MENU PIZZE'!$A$4:$A$110)+SUMIF('MENU PIZZE'!$K$4:$K$110,B82,'MENU PIZZE'!$A$4:$A$110)+SUMIF('MENU PIZZE'!$L$4:$L$110,B82,'MENU PIZZE'!$A$4:$A$110)</f>
        <v>0</v>
      </c>
      <c r="D82" s="20"/>
      <c r="E82" s="57" t="str">
        <f t="shared" si="1"/>
        <v/>
      </c>
      <c r="F82" s="58" t="str">
        <f t="shared" si="2"/>
        <v/>
      </c>
      <c r="G82" s="55">
        <f t="shared" si="3"/>
        <v>0</v>
      </c>
      <c r="H82" s="59">
        <f>countif('MENU PIZZE'!$E$4:$L$110,B82)</f>
        <v>1</v>
      </c>
      <c r="I82" s="26" t="str">
        <f>IFERROR(VLOOKUP(B82,'Ricette dei preparati'!B:D,3,FALSE),"")</f>
        <v/>
      </c>
    </row>
    <row r="83" ht="15.75" customHeight="1">
      <c r="A83" s="53" t="s">
        <v>334</v>
      </c>
      <c r="B83" s="54" t="s">
        <v>202</v>
      </c>
      <c r="C83" s="55">
        <f>SUMIF('MENU PIZZE'!$E$4:$E$110,B83,'MENU PIZZE'!$A$4:$A$110)+SUMIF('MENU PIZZE'!$F$4:$F$110,B83,'MENU PIZZE'!$A$4:$A$110)+SUMIF('MENU PIZZE'!$G$4:$G$110,B83,'MENU PIZZE'!$A$4:$A$110)+SUMIF('MENU PIZZE'!$H$4:$H$110,B83,'MENU PIZZE'!$A$4:$A$110)+SUMIF('MENU PIZZE'!$I$4:$I$110,B83,'MENU PIZZE'!$A$4:$A$110)+SUMIF('MENU PIZZE'!$J$4:$J$110,B83,'MENU PIZZE'!$A$4:$A$110)+SUMIF('MENU PIZZE'!$K$4:$K$110,B83,'MENU PIZZE'!$A$4:$A$110)+SUMIF('MENU PIZZE'!$L$4:$L$110,B83,'MENU PIZZE'!$A$4:$A$110)</f>
        <v>0</v>
      </c>
      <c r="D83" s="20"/>
      <c r="E83" s="57" t="str">
        <f t="shared" si="1"/>
        <v/>
      </c>
      <c r="F83" s="58" t="str">
        <f t="shared" si="2"/>
        <v/>
      </c>
      <c r="G83" s="55">
        <f t="shared" si="3"/>
        <v>0</v>
      </c>
      <c r="H83" s="59">
        <f>countif('MENU PIZZE'!$E$4:$L$110,B83)</f>
        <v>4</v>
      </c>
      <c r="I83" s="26" t="str">
        <f>IFERROR(VLOOKUP(B83,'Ricette dei preparati'!B:D,3,FALSE),"")</f>
        <v/>
      </c>
    </row>
    <row r="84" ht="15.75" customHeight="1">
      <c r="A84" s="53" t="s">
        <v>334</v>
      </c>
      <c r="B84" s="54" t="s">
        <v>227</v>
      </c>
      <c r="C84" s="55">
        <f>SUMIF('MENU PIZZE'!$E$4:$E$110,B84,'MENU PIZZE'!$A$4:$A$110)+SUMIF('MENU PIZZE'!$F$4:$F$110,B84,'MENU PIZZE'!$A$4:$A$110)+SUMIF('MENU PIZZE'!$G$4:$G$110,B84,'MENU PIZZE'!$A$4:$A$110)+SUMIF('MENU PIZZE'!$H$4:$H$110,B84,'MENU PIZZE'!$A$4:$A$110)+SUMIF('MENU PIZZE'!$I$4:$I$110,B84,'MENU PIZZE'!$A$4:$A$110)+SUMIF('MENU PIZZE'!$J$4:$J$110,B84,'MENU PIZZE'!$A$4:$A$110)+SUMIF('MENU PIZZE'!$K$4:$K$110,B84,'MENU PIZZE'!$A$4:$A$110)+SUMIF('MENU PIZZE'!$L$4:$L$110,B84,'MENU PIZZE'!$A$4:$A$110)</f>
        <v>0</v>
      </c>
      <c r="D84" s="67"/>
      <c r="E84" s="57" t="str">
        <f t="shared" si="1"/>
        <v/>
      </c>
      <c r="F84" s="58" t="str">
        <f t="shared" si="2"/>
        <v/>
      </c>
      <c r="G84" s="55">
        <f t="shared" si="3"/>
        <v>0</v>
      </c>
      <c r="H84" s="59">
        <f>countif('MENU PIZZE'!$E$4:$L$110,B84)</f>
        <v>2</v>
      </c>
      <c r="I84" s="26" t="str">
        <f>IFERROR(VLOOKUP(B84,'Ricette dei preparati'!B:D,3,FALSE),"")</f>
        <v/>
      </c>
    </row>
    <row r="85" ht="15.75" customHeight="1">
      <c r="A85" s="53" t="s">
        <v>334</v>
      </c>
      <c r="B85" s="54" t="s">
        <v>279</v>
      </c>
      <c r="C85" s="55">
        <f>SUMIF('MENU PIZZE'!$E$4:$E$110,B85,'MENU PIZZE'!$A$4:$A$110)+SUMIF('MENU PIZZE'!$F$4:$F$110,B85,'MENU PIZZE'!$A$4:$A$110)+SUMIF('MENU PIZZE'!$G$4:$G$110,B85,'MENU PIZZE'!$A$4:$A$110)+SUMIF('MENU PIZZE'!$H$4:$H$110,B85,'MENU PIZZE'!$A$4:$A$110)+SUMIF('MENU PIZZE'!$I$4:$I$110,B85,'MENU PIZZE'!$A$4:$A$110)+SUMIF('MENU PIZZE'!$J$4:$J$110,B85,'MENU PIZZE'!$A$4:$A$110)+SUMIF('MENU PIZZE'!$K$4:$K$110,B85,'MENU PIZZE'!$A$4:$A$110)+SUMIF('MENU PIZZE'!$L$4:$L$110,B85,'MENU PIZZE'!$A$4:$A$110)</f>
        <v>0</v>
      </c>
      <c r="D85" s="38"/>
      <c r="E85" s="57" t="str">
        <f t="shared" si="1"/>
        <v/>
      </c>
      <c r="F85" s="58" t="str">
        <f t="shared" si="2"/>
        <v/>
      </c>
      <c r="G85" s="55">
        <f t="shared" si="3"/>
        <v>0</v>
      </c>
      <c r="H85" s="59">
        <f>countif('MENU PIZZE'!$E$4:$L$110,B85)</f>
        <v>1</v>
      </c>
      <c r="I85" s="26" t="str">
        <f>IFERROR(VLOOKUP(B85,'Ricette dei preparati'!B:D,3,FALSE),"")</f>
        <v/>
      </c>
    </row>
    <row r="86" ht="15.75" customHeight="1">
      <c r="A86" s="53" t="s">
        <v>334</v>
      </c>
      <c r="B86" s="62" t="s">
        <v>274</v>
      </c>
      <c r="C86" s="55">
        <f>SUMIF('MENU PIZZE'!$E$4:$E$110,B86,'MENU PIZZE'!$A$4:$A$110)+SUMIF('MENU PIZZE'!$F$4:$F$110,B86,'MENU PIZZE'!$A$4:$A$110)+SUMIF('MENU PIZZE'!$G$4:$G$110,B86,'MENU PIZZE'!$A$4:$A$110)+SUMIF('MENU PIZZE'!$H$4:$H$110,B86,'MENU PIZZE'!$A$4:$A$110)+SUMIF('MENU PIZZE'!$I$4:$I$110,B86,'MENU PIZZE'!$A$4:$A$110)+SUMIF('MENU PIZZE'!$J$4:$J$110,B86,'MENU PIZZE'!$A$4:$A$110)+SUMIF('MENU PIZZE'!$K$4:$K$110,B86,'MENU PIZZE'!$A$4:$A$110)+SUMIF('MENU PIZZE'!$L$4:$L$110,B86,'MENU PIZZE'!$A$4:$A$110)</f>
        <v>0</v>
      </c>
      <c r="D86" s="38"/>
      <c r="E86" s="57" t="str">
        <f t="shared" si="1"/>
        <v/>
      </c>
      <c r="F86" s="58" t="str">
        <f t="shared" si="2"/>
        <v/>
      </c>
      <c r="G86" s="55">
        <f t="shared" si="3"/>
        <v>0</v>
      </c>
      <c r="H86" s="59">
        <f>countif('MENU PIZZE'!$E$4:$L$110,B86)</f>
        <v>3</v>
      </c>
      <c r="I86" s="26" t="str">
        <f>IFERROR(VLOOKUP(B86,'Ricette dei preparati'!B:D,3,FALSE),"")</f>
        <v/>
      </c>
    </row>
    <row r="87" ht="15.75" customHeight="1">
      <c r="A87" s="53" t="s">
        <v>334</v>
      </c>
      <c r="B87" s="66" t="s">
        <v>55</v>
      </c>
      <c r="C87" s="55">
        <f>SUMIF('MENU PIZZE'!$E$4:$E$110,B87,'MENU PIZZE'!$A$4:$A$110)+SUMIF('MENU PIZZE'!$F$4:$F$110,B87,'MENU PIZZE'!$A$4:$A$110)+SUMIF('MENU PIZZE'!$G$4:$G$110,B87,'MENU PIZZE'!$A$4:$A$110)+SUMIF('MENU PIZZE'!$H$4:$H$110,B87,'MENU PIZZE'!$A$4:$A$110)+SUMIF('MENU PIZZE'!$I$4:$I$110,B87,'MENU PIZZE'!$A$4:$A$110)+SUMIF('MENU PIZZE'!$J$4:$J$110,B87,'MENU PIZZE'!$A$4:$A$110)+SUMIF('MENU PIZZE'!$K$4:$K$110,B87,'MENU PIZZE'!$A$4:$A$110)+SUMIF('MENU PIZZE'!$L$4:$L$110,B87,'MENU PIZZE'!$A$4:$A$110)</f>
        <v>0</v>
      </c>
      <c r="D87" s="20"/>
      <c r="E87" s="57" t="str">
        <f t="shared" si="1"/>
        <v/>
      </c>
      <c r="F87" s="58" t="str">
        <f t="shared" si="2"/>
        <v/>
      </c>
      <c r="G87" s="55">
        <f t="shared" si="3"/>
        <v>0</v>
      </c>
      <c r="H87" s="59">
        <f>countif('MENU PIZZE'!$E$4:$L$110,B87)</f>
        <v>8</v>
      </c>
      <c r="I87" s="26" t="str">
        <f>IFERROR(VLOOKUP(B87,'Ricette dei preparati'!B:D,3,FALSE),"")</f>
        <v/>
      </c>
    </row>
    <row r="88" ht="15.75" customHeight="1">
      <c r="A88" s="53" t="s">
        <v>334</v>
      </c>
      <c r="B88" s="54" t="s">
        <v>73</v>
      </c>
      <c r="C88" s="55">
        <f>SUMIF('MENU PIZZE'!$E$4:$E$110,B88,'MENU PIZZE'!$A$4:$A$110)+SUMIF('MENU PIZZE'!$F$4:$F$110,B88,'MENU PIZZE'!$A$4:$A$110)+SUMIF('MENU PIZZE'!$G$4:$G$110,B88,'MENU PIZZE'!$A$4:$A$110)+SUMIF('MENU PIZZE'!$H$4:$H$110,B88,'MENU PIZZE'!$A$4:$A$110)+SUMIF('MENU PIZZE'!$I$4:$I$110,B88,'MENU PIZZE'!$A$4:$A$110)+SUMIF('MENU PIZZE'!$J$4:$J$110,B88,'MENU PIZZE'!$A$4:$A$110)+SUMIF('MENU PIZZE'!$K$4:$K$110,B88,'MENU PIZZE'!$A$4:$A$110)+SUMIF('MENU PIZZE'!$L$4:$L$110,B88,'MENU PIZZE'!$A$4:$A$110)</f>
        <v>0</v>
      </c>
      <c r="D88" s="20"/>
      <c r="E88" s="57" t="str">
        <f t="shared" si="1"/>
        <v/>
      </c>
      <c r="F88" s="58" t="str">
        <f t="shared" si="2"/>
        <v/>
      </c>
      <c r="G88" s="55">
        <f t="shared" si="3"/>
        <v>0</v>
      </c>
      <c r="H88" s="59">
        <f>countif('MENU PIZZE'!$E$4:$L$110,B88)</f>
        <v>1</v>
      </c>
      <c r="I88" s="26" t="str">
        <f>IFERROR(VLOOKUP(B88,'Ricette dei preparati'!B:D,3,FALSE),"")</f>
        <v/>
      </c>
    </row>
    <row r="89" ht="15.75" customHeight="1">
      <c r="A89" s="53" t="s">
        <v>334</v>
      </c>
      <c r="B89" s="54" t="s">
        <v>310</v>
      </c>
      <c r="C89" s="55">
        <f>SUMIF('MENU PIZZE'!$E$4:$E$110,B89,'MENU PIZZE'!$A$4:$A$110)+SUMIF('MENU PIZZE'!$F$4:$F$110,B89,'MENU PIZZE'!$A$4:$A$110)+SUMIF('MENU PIZZE'!$G$4:$G$110,B89,'MENU PIZZE'!$A$4:$A$110)+SUMIF('MENU PIZZE'!$H$4:$H$110,B89,'MENU PIZZE'!$A$4:$A$110)+SUMIF('MENU PIZZE'!$I$4:$I$110,B89,'MENU PIZZE'!$A$4:$A$110)+SUMIF('MENU PIZZE'!$J$4:$J$110,B89,'MENU PIZZE'!$A$4:$A$110)+SUMIF('MENU PIZZE'!$K$4:$K$110,B89,'MENU PIZZE'!$A$4:$A$110)+SUMIF('MENU PIZZE'!$L$4:$L$110,B89,'MENU PIZZE'!$A$4:$A$110)</f>
        <v>0</v>
      </c>
      <c r="D89" s="38"/>
      <c r="E89" s="57" t="str">
        <f t="shared" si="1"/>
        <v/>
      </c>
      <c r="F89" s="58" t="str">
        <f t="shared" si="2"/>
        <v/>
      </c>
      <c r="G89" s="55">
        <f t="shared" si="3"/>
        <v>0</v>
      </c>
      <c r="H89" s="59">
        <f>countif('MENU PIZZE'!$E$4:$L$110,B89)</f>
        <v>1</v>
      </c>
      <c r="I89" s="26" t="str">
        <f>IFERROR(VLOOKUP(B89,'Ricette dei preparati'!B:D,3,FALSE),"")</f>
        <v/>
      </c>
    </row>
    <row r="90" ht="15.75" customHeight="1">
      <c r="A90" s="53" t="s">
        <v>334</v>
      </c>
      <c r="B90" s="54" t="s">
        <v>119</v>
      </c>
      <c r="C90" s="55">
        <f>SUMIF('MENU PIZZE'!$E$4:$E$110,B90,'MENU PIZZE'!$A$4:$A$110)+SUMIF('MENU PIZZE'!$F$4:$F$110,B90,'MENU PIZZE'!$A$4:$A$110)+SUMIF('MENU PIZZE'!$G$4:$G$110,B90,'MENU PIZZE'!$A$4:$A$110)+SUMIF('MENU PIZZE'!$H$4:$H$110,B90,'MENU PIZZE'!$A$4:$A$110)+SUMIF('MENU PIZZE'!$I$4:$I$110,B90,'MENU PIZZE'!$A$4:$A$110)+SUMIF('MENU PIZZE'!$J$4:$J$110,B90,'MENU PIZZE'!$A$4:$A$110)+SUMIF('MENU PIZZE'!$K$4:$K$110,B90,'MENU PIZZE'!$A$4:$A$110)+SUMIF('MENU PIZZE'!$L$4:$L$110,B90,'MENU PIZZE'!$A$4:$A$110)</f>
        <v>0</v>
      </c>
      <c r="D90" s="38"/>
      <c r="E90" s="57" t="str">
        <f t="shared" si="1"/>
        <v/>
      </c>
      <c r="F90" s="58" t="str">
        <f t="shared" si="2"/>
        <v/>
      </c>
      <c r="G90" s="55">
        <f t="shared" si="3"/>
        <v>0</v>
      </c>
      <c r="H90" s="59">
        <f>countif('MENU PIZZE'!$E$4:$L$110,B90)</f>
        <v>2</v>
      </c>
      <c r="I90" s="26" t="str">
        <f>IFERROR(VLOOKUP(B90,'Ricette dei preparati'!B:D,3,FALSE),"")</f>
        <v/>
      </c>
    </row>
    <row r="91" ht="15.75" customHeight="1">
      <c r="A91" s="53" t="s">
        <v>334</v>
      </c>
      <c r="B91" s="54" t="s">
        <v>280</v>
      </c>
      <c r="C91" s="55">
        <f>SUMIF('MENU PIZZE'!$E$4:$E$110,B91,'MENU PIZZE'!$A$4:$A$110)+SUMIF('MENU PIZZE'!$F$4:$F$110,B91,'MENU PIZZE'!$A$4:$A$110)+SUMIF('MENU PIZZE'!$G$4:$G$110,B91,'MENU PIZZE'!$A$4:$A$110)+SUMIF('MENU PIZZE'!$H$4:$H$110,B91,'MENU PIZZE'!$A$4:$A$110)+SUMIF('MENU PIZZE'!$I$4:$I$110,B91,'MENU PIZZE'!$A$4:$A$110)+SUMIF('MENU PIZZE'!$J$4:$J$110,B91,'MENU PIZZE'!$A$4:$A$110)+SUMIF('MENU PIZZE'!$K$4:$K$110,B91,'MENU PIZZE'!$A$4:$A$110)+SUMIF('MENU PIZZE'!$L$4:$L$110,B91,'MENU PIZZE'!$A$4:$A$110)</f>
        <v>0</v>
      </c>
      <c r="D91" s="38"/>
      <c r="E91" s="57" t="str">
        <f t="shared" si="1"/>
        <v/>
      </c>
      <c r="F91" s="58" t="str">
        <f t="shared" si="2"/>
        <v/>
      </c>
      <c r="G91" s="55">
        <f t="shared" si="3"/>
        <v>0</v>
      </c>
      <c r="H91" s="59">
        <f>countif('MENU PIZZE'!$E$4:$L$110,B91)</f>
        <v>1</v>
      </c>
      <c r="I91" s="26" t="str">
        <f>IFERROR(VLOOKUP(B91,'Ricette dei preparati'!B:D,3,FALSE),"")</f>
        <v/>
      </c>
    </row>
    <row r="92" ht="15.75" customHeight="1">
      <c r="A92" s="53" t="s">
        <v>334</v>
      </c>
      <c r="B92" s="54" t="s">
        <v>108</v>
      </c>
      <c r="C92" s="55">
        <f>SUMIF('MENU PIZZE'!$E$4:$E$110,B92,'MENU PIZZE'!$A$4:$A$110)+SUMIF('MENU PIZZE'!$F$4:$F$110,B92,'MENU PIZZE'!$A$4:$A$110)+SUMIF('MENU PIZZE'!$G$4:$G$110,B92,'MENU PIZZE'!$A$4:$A$110)+SUMIF('MENU PIZZE'!$H$4:$H$110,B92,'MENU PIZZE'!$A$4:$A$110)+SUMIF('MENU PIZZE'!$I$4:$I$110,B92,'MENU PIZZE'!$A$4:$A$110)+SUMIF('MENU PIZZE'!$J$4:$J$110,B92,'MENU PIZZE'!$A$4:$A$110)+SUMIF('MENU PIZZE'!$K$4:$K$110,B92,'MENU PIZZE'!$A$4:$A$110)+SUMIF('MENU PIZZE'!$L$4:$L$110,B92,'MENU PIZZE'!$A$4:$A$110)</f>
        <v>0</v>
      </c>
      <c r="D92" s="38"/>
      <c r="E92" s="57" t="str">
        <f t="shared" si="1"/>
        <v/>
      </c>
      <c r="F92" s="58" t="str">
        <f t="shared" si="2"/>
        <v/>
      </c>
      <c r="G92" s="55">
        <f t="shared" si="3"/>
        <v>0</v>
      </c>
      <c r="H92" s="59">
        <f>countif('MENU PIZZE'!$E$4:$L$110,B92)</f>
        <v>2</v>
      </c>
      <c r="I92" s="26" t="str">
        <f>IFERROR(VLOOKUP(B92,'Ricette dei preparati'!B:D,3,FALSE),"")</f>
        <v/>
      </c>
    </row>
    <row r="93" ht="15.75" customHeight="1">
      <c r="A93" s="53" t="s">
        <v>334</v>
      </c>
      <c r="B93" s="62" t="s">
        <v>77</v>
      </c>
      <c r="C93" s="55">
        <f>SUMIF('MENU PIZZE'!$E$4:$E$110,B93,'MENU PIZZE'!$A$4:$A$110)+SUMIF('MENU PIZZE'!$F$4:$F$110,B93,'MENU PIZZE'!$A$4:$A$110)+SUMIF('MENU PIZZE'!$G$4:$G$110,B93,'MENU PIZZE'!$A$4:$A$110)+SUMIF('MENU PIZZE'!$H$4:$H$110,B93,'MENU PIZZE'!$A$4:$A$110)+SUMIF('MENU PIZZE'!$I$4:$I$110,B93,'MENU PIZZE'!$A$4:$A$110)+SUMIF('MENU PIZZE'!$J$4:$J$110,B93,'MENU PIZZE'!$A$4:$A$110)+SUMIF('MENU PIZZE'!$K$4:$K$110,B93,'MENU PIZZE'!$A$4:$A$110)+SUMIF('MENU PIZZE'!$L$4:$L$110,B93,'MENU PIZZE'!$A$4:$A$110)</f>
        <v>0</v>
      </c>
      <c r="D93" s="20"/>
      <c r="E93" s="57" t="str">
        <f t="shared" si="1"/>
        <v/>
      </c>
      <c r="F93" s="58" t="str">
        <f t="shared" si="2"/>
        <v/>
      </c>
      <c r="G93" s="55">
        <f t="shared" si="3"/>
        <v>0</v>
      </c>
      <c r="H93" s="59">
        <f>countif('MENU PIZZE'!$E$4:$L$110,B93)</f>
        <v>1</v>
      </c>
      <c r="I93" s="26" t="str">
        <f>IFERROR(VLOOKUP(B93,'Ricette dei preparati'!B:D,3,FALSE),"")</f>
        <v/>
      </c>
    </row>
    <row r="94" ht="15.75" customHeight="1">
      <c r="A94" s="53" t="s">
        <v>334</v>
      </c>
      <c r="B94" s="62" t="s">
        <v>339</v>
      </c>
      <c r="C94" s="55">
        <f>SUMIF('MENU PIZZE'!$E$4:$E$110,B94,'MENU PIZZE'!$A$4:$A$110)+SUMIF('MENU PIZZE'!$F$4:$F$110,B94,'MENU PIZZE'!$A$4:$A$110)+SUMIF('MENU PIZZE'!$G$4:$G$110,B94,'MENU PIZZE'!$A$4:$A$110)+SUMIF('MENU PIZZE'!$H$4:$H$110,B94,'MENU PIZZE'!$A$4:$A$110)+SUMIF('MENU PIZZE'!$I$4:$I$110,B94,'MENU PIZZE'!$A$4:$A$110)+SUMIF('MENU PIZZE'!$J$4:$J$110,B94,'MENU PIZZE'!$A$4:$A$110)+SUMIF('MENU PIZZE'!$K$4:$K$110,B94,'MENU PIZZE'!$A$4:$A$110)+SUMIF('MENU PIZZE'!$L$4:$L$110,B94,'MENU PIZZE'!$A$4:$A$110)</f>
        <v>0</v>
      </c>
      <c r="D94" s="20"/>
      <c r="E94" s="57" t="str">
        <f t="shared" si="1"/>
        <v/>
      </c>
      <c r="F94" s="58" t="str">
        <f t="shared" si="2"/>
        <v/>
      </c>
      <c r="G94" s="55">
        <f t="shared" si="3"/>
        <v>0</v>
      </c>
      <c r="H94" s="59">
        <f>countif('MENU PIZZE'!$E$4:$L$110,B94)</f>
        <v>0</v>
      </c>
      <c r="I94" s="26" t="str">
        <f>IFERROR(VLOOKUP(B94,'Ricette dei preparati'!B:D,3,FALSE),"")</f>
        <v/>
      </c>
    </row>
    <row r="95" ht="15.75" customHeight="1">
      <c r="A95" s="53" t="s">
        <v>335</v>
      </c>
      <c r="B95" s="62" t="s">
        <v>219</v>
      </c>
      <c r="C95" s="55">
        <f>SUMIF('MENU PIZZE'!$E$4:$E$110,B95,'MENU PIZZE'!$A$4:$A$110)+SUMIF('MENU PIZZE'!$F$4:$F$110,B95,'MENU PIZZE'!$A$4:$A$110)+SUMIF('MENU PIZZE'!$G$4:$G$110,B95,'MENU PIZZE'!$A$4:$A$110)+SUMIF('MENU PIZZE'!$H$4:$H$110,B95,'MENU PIZZE'!$A$4:$A$110)+SUMIF('MENU PIZZE'!$I$4:$I$110,B95,'MENU PIZZE'!$A$4:$A$110)+SUMIF('MENU PIZZE'!$J$4:$J$110,B95,'MENU PIZZE'!$A$4:$A$110)+SUMIF('MENU PIZZE'!$K$4:$K$110,B95,'MENU PIZZE'!$A$4:$A$110)+SUMIF('MENU PIZZE'!$L$4:$L$110,B95,'MENU PIZZE'!$A$4:$A$110)</f>
        <v>0</v>
      </c>
      <c r="D95" s="38"/>
      <c r="E95" s="57" t="str">
        <f t="shared" si="1"/>
        <v/>
      </c>
      <c r="F95" s="58" t="str">
        <f t="shared" si="2"/>
        <v/>
      </c>
      <c r="G95" s="55">
        <f t="shared" si="3"/>
        <v>0</v>
      </c>
      <c r="H95" s="59">
        <f>countif('MENU PIZZE'!$E$4:$L$110,B95)</f>
        <v>1</v>
      </c>
      <c r="I95" s="26" t="str">
        <f>IFERROR(VLOOKUP(B95,'Ricette dei preparati'!B:D,3,FALSE),"")</f>
        <v>Ananas, Burro, Zucchero di canna</v>
      </c>
    </row>
    <row r="96" ht="15.75" customHeight="1">
      <c r="A96" s="53" t="s">
        <v>335</v>
      </c>
      <c r="B96" s="62" t="s">
        <v>107</v>
      </c>
      <c r="C96" s="55">
        <f>SUMIF('MENU PIZZE'!$E$4:$E$110,B96,'MENU PIZZE'!$A$4:$A$110)+SUMIF('MENU PIZZE'!$F$4:$F$110,B96,'MENU PIZZE'!$A$4:$A$110)+SUMIF('MENU PIZZE'!$G$4:$G$110,B96,'MENU PIZZE'!$A$4:$A$110)+SUMIF('MENU PIZZE'!$H$4:$H$110,B96,'MENU PIZZE'!$A$4:$A$110)+SUMIF('MENU PIZZE'!$I$4:$I$110,B96,'MENU PIZZE'!$A$4:$A$110)+SUMIF('MENU PIZZE'!$J$4:$J$110,B96,'MENU PIZZE'!$A$4:$A$110)+SUMIF('MENU PIZZE'!$K$4:$K$110,B96,'MENU PIZZE'!$A$4:$A$110)+SUMIF('MENU PIZZE'!$L$4:$L$110,B96,'MENU PIZZE'!$A$4:$A$110)</f>
        <v>0</v>
      </c>
      <c r="D96" s="63"/>
      <c r="E96" s="57" t="str">
        <f t="shared" si="1"/>
        <v/>
      </c>
      <c r="F96" s="58" t="str">
        <f t="shared" si="2"/>
        <v/>
      </c>
      <c r="G96" s="55">
        <f t="shared" si="3"/>
        <v>0</v>
      </c>
      <c r="H96" s="59">
        <f>countif('MENU PIZZE'!$E$4:$L$110,B96)</f>
        <v>1</v>
      </c>
      <c r="I96" s="26" t="str">
        <f>IFERROR(VLOOKUP(B96,'Ricette dei preparati'!B:D,3,FALSE),"")</f>
        <v>Anatra, Arancia, Miele, Burro, Timo</v>
      </c>
    </row>
    <row r="97" ht="15.75" customHeight="1">
      <c r="A97" s="53" t="s">
        <v>335</v>
      </c>
      <c r="B97" s="62" t="s">
        <v>58</v>
      </c>
      <c r="C97" s="55">
        <f>SUMIF('MENU PIZZE'!$E$4:$E$110,B97,'MENU PIZZE'!$A$4:$A$110)+SUMIF('MENU PIZZE'!$F$4:$F$110,B97,'MENU PIZZE'!$A$4:$A$110)+SUMIF('MENU PIZZE'!$G$4:$G$110,B97,'MENU PIZZE'!$A$4:$A$110)+SUMIF('MENU PIZZE'!$H$4:$H$110,B97,'MENU PIZZE'!$A$4:$A$110)+SUMIF('MENU PIZZE'!$I$4:$I$110,B97,'MENU PIZZE'!$A$4:$A$110)+SUMIF('MENU PIZZE'!$J$4:$J$110,B97,'MENU PIZZE'!$A$4:$A$110)+SUMIF('MENU PIZZE'!$K$4:$K$110,B97,'MENU PIZZE'!$A$4:$A$110)+SUMIF('MENU PIZZE'!$L$4:$L$110,B97,'MENU PIZZE'!$A$4:$A$110)</f>
        <v>0</v>
      </c>
      <c r="D97" s="20"/>
      <c r="E97" s="57" t="str">
        <f t="shared" si="1"/>
        <v/>
      </c>
      <c r="F97" s="58" t="str">
        <f t="shared" si="2"/>
        <v/>
      </c>
      <c r="G97" s="55">
        <f t="shared" si="3"/>
        <v>0</v>
      </c>
      <c r="H97" s="59">
        <f>countif('MENU PIZZE'!$E$4:$L$110,B97)</f>
        <v>1</v>
      </c>
      <c r="I97" s="26" t="str">
        <f>IFERROR(VLOOKUP(B97,'Ricette dei preparati'!B:D,3,FALSE),"")</f>
        <v>Baccalà, Prezzemolo</v>
      </c>
    </row>
    <row r="98" ht="15.75" customHeight="1">
      <c r="A98" s="53" t="s">
        <v>335</v>
      </c>
      <c r="B98" s="62" t="s">
        <v>165</v>
      </c>
      <c r="C98" s="55">
        <f>SUMIF('MENU PIZZE'!$E$4:$E$110,B98,'MENU PIZZE'!$A$4:$A$110)+SUMIF('MENU PIZZE'!$F$4:$F$110,B98,'MENU PIZZE'!$A$4:$A$110)+SUMIF('MENU PIZZE'!$G$4:$G$110,B98,'MENU PIZZE'!$A$4:$A$110)+SUMIF('MENU PIZZE'!$H$4:$H$110,B98,'MENU PIZZE'!$A$4:$A$110)+SUMIF('MENU PIZZE'!$I$4:$I$110,B98,'MENU PIZZE'!$A$4:$A$110)+SUMIF('MENU PIZZE'!$J$4:$J$110,B98,'MENU PIZZE'!$A$4:$A$110)+SUMIF('MENU PIZZE'!$K$4:$K$110,B98,'MENU PIZZE'!$A$4:$A$110)+SUMIF('MENU PIZZE'!$L$4:$L$110,B98,'MENU PIZZE'!$A$4:$A$110)</f>
        <v>0</v>
      </c>
      <c r="D98" s="38"/>
      <c r="E98" s="57" t="str">
        <f t="shared" si="1"/>
        <v/>
      </c>
      <c r="F98" s="58" t="str">
        <f t="shared" si="2"/>
        <v/>
      </c>
      <c r="G98" s="55">
        <f t="shared" si="3"/>
        <v>0</v>
      </c>
      <c r="H98" s="59">
        <f>countif('MENU PIZZE'!$E$4:$L$110,B98)</f>
        <v>1</v>
      </c>
      <c r="I98" s="26" t="str">
        <f>IFERROR(VLOOKUP(B98,'Ricette dei preparati'!B:D,3,FALSE),"")</f>
        <v>Stoccafisso ammollato, Alloro, Prezzemolo</v>
      </c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</row>
    <row r="99" ht="15.75" customHeight="1">
      <c r="A99" s="53" t="s">
        <v>335</v>
      </c>
      <c r="B99" s="62" t="s">
        <v>169</v>
      </c>
      <c r="C99" s="55">
        <f>SUMIF('MENU PIZZE'!$E$4:$E$110,B99,'MENU PIZZE'!$A$4:$A$110)+SUMIF('MENU PIZZE'!$F$4:$F$110,B99,'MENU PIZZE'!$A$4:$A$110)+SUMIF('MENU PIZZE'!$G$4:$G$110,B99,'MENU PIZZE'!$A$4:$A$110)+SUMIF('MENU PIZZE'!$H$4:$H$110,B99,'MENU PIZZE'!$A$4:$A$110)+SUMIF('MENU PIZZE'!$I$4:$I$110,B99,'MENU PIZZE'!$A$4:$A$110)+SUMIF('MENU PIZZE'!$J$4:$J$110,B99,'MENU PIZZE'!$A$4:$A$110)+SUMIF('MENU PIZZE'!$K$4:$K$110,B99,'MENU PIZZE'!$A$4:$A$110)+SUMIF('MENU PIZZE'!$L$4:$L$110,B99,'MENU PIZZE'!$A$4:$A$110)</f>
        <v>0</v>
      </c>
      <c r="D99" s="38"/>
      <c r="E99" s="57" t="str">
        <f t="shared" si="1"/>
        <v/>
      </c>
      <c r="F99" s="58" t="str">
        <f t="shared" si="2"/>
        <v/>
      </c>
      <c r="G99" s="55">
        <f t="shared" si="3"/>
        <v>0</v>
      </c>
      <c r="H99" s="59">
        <f>countif('MENU PIZZE'!$E$4:$L$110,B99)</f>
        <v>2</v>
      </c>
      <c r="I99" s="26" t="str">
        <f>IFERROR(VLOOKUP(B99,'Ricette dei preparati'!B:D,3,FALSE),"")</f>
        <v>Cavolo nero, Aglio, Peperoncino</v>
      </c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</row>
    <row r="100" ht="15.75" customHeight="1">
      <c r="A100" s="53" t="s">
        <v>335</v>
      </c>
      <c r="B100" s="62" t="s">
        <v>92</v>
      </c>
      <c r="C100" s="55">
        <f>SUMIF('MENU PIZZE'!$E$4:$E$110,B100,'MENU PIZZE'!$A$4:$A$110)+SUMIF('MENU PIZZE'!$F$4:$F$110,B100,'MENU PIZZE'!$A$4:$A$110)+SUMIF('MENU PIZZE'!$G$4:$G$110,B100,'MENU PIZZE'!$A$4:$A$110)+SUMIF('MENU PIZZE'!$H$4:$H$110,B100,'MENU PIZZE'!$A$4:$A$110)+SUMIF('MENU PIZZE'!$I$4:$I$110,B100,'MENU PIZZE'!$A$4:$A$110)+SUMIF('MENU PIZZE'!$J$4:$J$110,B100,'MENU PIZZE'!$A$4:$A$110)+SUMIF('MENU PIZZE'!$K$4:$K$110,B100,'MENU PIZZE'!$A$4:$A$110)+SUMIF('MENU PIZZE'!$L$4:$L$110,B100,'MENU PIZZE'!$A$4:$A$110)</f>
        <v>0</v>
      </c>
      <c r="D100" s="63"/>
      <c r="E100" s="57" t="str">
        <f t="shared" si="1"/>
        <v/>
      </c>
      <c r="F100" s="58" t="str">
        <f t="shared" si="2"/>
        <v/>
      </c>
      <c r="G100" s="55">
        <f t="shared" si="3"/>
        <v>0</v>
      </c>
      <c r="H100" s="59">
        <f>countif('MENU PIZZE'!$E$4:$L$110,B100)</f>
        <v>1</v>
      </c>
      <c r="I100" s="26" t="str">
        <f>IFERROR(VLOOKUP(B100,'Ricette dei preparati'!B:D,3,FALSE),"")</f>
        <v>Farina Grano saraceno, Farina 00</v>
      </c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</row>
    <row r="101" ht="15.75" customHeight="1">
      <c r="A101" s="53" t="s">
        <v>335</v>
      </c>
      <c r="B101" s="54" t="s">
        <v>87</v>
      </c>
      <c r="C101" s="55">
        <f>SUMIF('MENU PIZZE'!$E$4:$E$110,B101,'MENU PIZZE'!$A$4:$A$110)+SUMIF('MENU PIZZE'!$F$4:$F$110,B101,'MENU PIZZE'!$A$4:$A$110)+SUMIF('MENU PIZZE'!$G$4:$G$110,B101,'MENU PIZZE'!$A$4:$A$110)+SUMIF('MENU PIZZE'!$H$4:$H$110,B101,'MENU PIZZE'!$A$4:$A$110)+SUMIF('MENU PIZZE'!$I$4:$I$110,B101,'MENU PIZZE'!$A$4:$A$110)+SUMIF('MENU PIZZE'!$J$4:$J$110,B101,'MENU PIZZE'!$A$4:$A$110)+SUMIF('MENU PIZZE'!$K$4:$K$110,B101,'MENU PIZZE'!$A$4:$A$110)+SUMIF('MENU PIZZE'!$L$4:$L$110,B101,'MENU PIZZE'!$A$4:$A$110)</f>
        <v>0</v>
      </c>
      <c r="D101" s="38"/>
      <c r="E101" s="57" t="str">
        <f t="shared" si="1"/>
        <v/>
      </c>
      <c r="F101" s="58" t="str">
        <f t="shared" si="2"/>
        <v/>
      </c>
      <c r="G101" s="55">
        <f t="shared" si="3"/>
        <v>0</v>
      </c>
      <c r="H101" s="59">
        <f>countif('MENU PIZZE'!$E$4:$L$110,B101)</f>
        <v>4</v>
      </c>
      <c r="I101" s="26" t="str">
        <f>IFERROR(VLOOKUP(B101,'Ricette dei preparati'!B:D,3,FALSE),"")</f>
        <v>Cipolle Tropea, Zucchero di canna</v>
      </c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</row>
    <row r="102" ht="15.75" customHeight="1">
      <c r="A102" s="53" t="s">
        <v>335</v>
      </c>
      <c r="B102" s="62" t="s">
        <v>291</v>
      </c>
      <c r="C102" s="55">
        <f>SUMIF('MENU PIZZE'!$E$4:$E$110,B102,'MENU PIZZE'!$A$4:$A$110)+SUMIF('MENU PIZZE'!$F$4:$F$110,B102,'MENU PIZZE'!$A$4:$A$110)+SUMIF('MENU PIZZE'!$G$4:$G$110,B102,'MENU PIZZE'!$A$4:$A$110)+SUMIF('MENU PIZZE'!$H$4:$H$110,B102,'MENU PIZZE'!$A$4:$A$110)+SUMIF('MENU PIZZE'!$I$4:$I$110,B102,'MENU PIZZE'!$A$4:$A$110)+SUMIF('MENU PIZZE'!$J$4:$J$110,B102,'MENU PIZZE'!$A$4:$A$110)+SUMIF('MENU PIZZE'!$K$4:$K$110,B102,'MENU PIZZE'!$A$4:$A$110)+SUMIF('MENU PIZZE'!$L$4:$L$110,B102,'MENU PIZZE'!$A$4:$A$110)</f>
        <v>0</v>
      </c>
      <c r="D102" s="38"/>
      <c r="E102" s="57" t="str">
        <f t="shared" si="1"/>
        <v/>
      </c>
      <c r="F102" s="58" t="str">
        <f t="shared" si="2"/>
        <v/>
      </c>
      <c r="G102" s="55">
        <f t="shared" si="3"/>
        <v>0</v>
      </c>
      <c r="H102" s="59">
        <f>countif('MENU PIZZE'!$E$4:$L$110,B102)</f>
        <v>1</v>
      </c>
      <c r="I102" s="26" t="str">
        <f>IFERROR(VLOOKUP(B102,'Ricette dei preparati'!B:D,3,FALSE),"")</f>
        <v>Pere, Zucchero di canna, Zenzero, Limone</v>
      </c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</row>
    <row r="103" ht="15.75" customHeight="1">
      <c r="A103" s="53" t="s">
        <v>335</v>
      </c>
      <c r="B103" s="54" t="s">
        <v>288</v>
      </c>
      <c r="C103" s="55">
        <f>SUMIF('MENU PIZZE'!$E$4:$E$110,B103,'MENU PIZZE'!$A$4:$A$110)+SUMIF('MENU PIZZE'!$F$4:$F$110,B103,'MENU PIZZE'!$A$4:$A$110)+SUMIF('MENU PIZZE'!$G$4:$G$110,B103,'MENU PIZZE'!$A$4:$A$110)+SUMIF('MENU PIZZE'!$H$4:$H$110,B103,'MENU PIZZE'!$A$4:$A$110)+SUMIF('MENU PIZZE'!$I$4:$I$110,B103,'MENU PIZZE'!$A$4:$A$110)+SUMIF('MENU PIZZE'!$J$4:$J$110,B103,'MENU PIZZE'!$A$4:$A$110)+SUMIF('MENU PIZZE'!$K$4:$K$110,B103,'MENU PIZZE'!$A$4:$A$110)+SUMIF('MENU PIZZE'!$L$4:$L$110,B103,'MENU PIZZE'!$A$4:$A$110)</f>
        <v>0</v>
      </c>
      <c r="D103" s="38"/>
      <c r="E103" s="57" t="str">
        <f t="shared" si="1"/>
        <v/>
      </c>
      <c r="F103" s="58" t="str">
        <f t="shared" si="2"/>
        <v/>
      </c>
      <c r="G103" s="55">
        <f t="shared" si="3"/>
        <v>0</v>
      </c>
      <c r="H103" s="59">
        <f>countif('MENU PIZZE'!$E$4:$L$110,B103)</f>
        <v>1</v>
      </c>
      <c r="I103" s="26" t="str">
        <f>IFERROR(VLOOKUP(B103,'Ricette dei preparati'!B:D,3,FALSE),"")</f>
        <v>Patate viola</v>
      </c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</row>
    <row r="104" ht="15.75" customHeight="1">
      <c r="A104" s="53" t="s">
        <v>335</v>
      </c>
      <c r="B104" s="62" t="s">
        <v>198</v>
      </c>
      <c r="C104" s="55">
        <f>SUMIF('MENU PIZZE'!$E$4:$E$110,B104,'MENU PIZZE'!$A$4:$A$110)+SUMIF('MENU PIZZE'!$F$4:$F$110,B104,'MENU PIZZE'!$A$4:$A$110)+SUMIF('MENU PIZZE'!$G$4:$G$110,B104,'MENU PIZZE'!$A$4:$A$110)+SUMIF('MENU PIZZE'!$H$4:$H$110,B104,'MENU PIZZE'!$A$4:$A$110)+SUMIF('MENU PIZZE'!$I$4:$I$110,B104,'MENU PIZZE'!$A$4:$A$110)+SUMIF('MENU PIZZE'!$J$4:$J$110,B104,'MENU PIZZE'!$A$4:$A$110)+SUMIF('MENU PIZZE'!$K$4:$K$110,B104,'MENU PIZZE'!$A$4:$A$110)+SUMIF('MENU PIZZE'!$L$4:$L$110,B104,'MENU PIZZE'!$A$4:$A$110)</f>
        <v>0</v>
      </c>
      <c r="D104" s="38"/>
      <c r="E104" s="57" t="str">
        <f t="shared" si="1"/>
        <v/>
      </c>
      <c r="F104" s="58" t="str">
        <f t="shared" si="2"/>
        <v/>
      </c>
      <c r="G104" s="55">
        <f t="shared" si="3"/>
        <v>0</v>
      </c>
      <c r="H104" s="59">
        <f>countif('MENU PIZZE'!$E$4:$L$110,B104)</f>
        <v>1</v>
      </c>
      <c r="I104" s="26" t="str">
        <f>IFERROR(VLOOKUP(B104,'Ricette dei preparati'!B:D,3,FALSE),"")</f>
        <v>Barbabietola, Yogurt o Latte</v>
      </c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</row>
    <row r="105" ht="15.75" customHeight="1">
      <c r="A105" s="53" t="s">
        <v>335</v>
      </c>
      <c r="B105" s="62" t="s">
        <v>118</v>
      </c>
      <c r="C105" s="55">
        <f>SUMIF('MENU PIZZE'!$E$4:$E$110,B105,'MENU PIZZE'!$A$4:$A$110)+SUMIF('MENU PIZZE'!$F$4:$F$110,B105,'MENU PIZZE'!$A$4:$A$110)+SUMIF('MENU PIZZE'!$G$4:$G$110,B105,'MENU PIZZE'!$A$4:$A$110)+SUMIF('MENU PIZZE'!$H$4:$H$110,B105,'MENU PIZZE'!$A$4:$A$110)+SUMIF('MENU PIZZE'!$I$4:$I$110,B105,'MENU PIZZE'!$A$4:$A$110)+SUMIF('MENU PIZZE'!$J$4:$J$110,B105,'MENU PIZZE'!$A$4:$A$110)+SUMIF('MENU PIZZE'!$K$4:$K$110,B105,'MENU PIZZE'!$A$4:$A$110)+SUMIF('MENU PIZZE'!$L$4:$L$110,B105,'MENU PIZZE'!$A$4:$A$110)</f>
        <v>0</v>
      </c>
      <c r="D105" s="63"/>
      <c r="E105" s="57" t="str">
        <f t="shared" si="1"/>
        <v/>
      </c>
      <c r="F105" s="58" t="str">
        <f t="shared" si="2"/>
        <v/>
      </c>
      <c r="G105" s="55">
        <f t="shared" si="3"/>
        <v>0</v>
      </c>
      <c r="H105" s="59">
        <f>countif('MENU PIZZE'!$E$4:$L$110,B105)</f>
        <v>2</v>
      </c>
      <c r="I105" s="26" t="str">
        <f>IFERROR(VLOOKUP(B105,'Ricette dei preparati'!B:D,3,FALSE),"")</f>
        <v>Farina di castagne, Latte</v>
      </c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</row>
    <row r="106" ht="15.75" customHeight="1">
      <c r="A106" s="53" t="s">
        <v>335</v>
      </c>
      <c r="B106" s="62" t="s">
        <v>62</v>
      </c>
      <c r="C106" s="55">
        <f>SUMIF('MENU PIZZE'!$E$4:$E$110,B106,'MENU PIZZE'!$A$4:$A$110)+SUMIF('MENU PIZZE'!$F$4:$F$110,B106,'MENU PIZZE'!$A$4:$A$110)+SUMIF('MENU PIZZE'!$G$4:$G$110,B106,'MENU PIZZE'!$A$4:$A$110)+SUMIF('MENU PIZZE'!$H$4:$H$110,B106,'MENU PIZZE'!$A$4:$A$110)+SUMIF('MENU PIZZE'!$I$4:$I$110,B106,'MENU PIZZE'!$A$4:$A$110)+SUMIF('MENU PIZZE'!$J$4:$J$110,B106,'MENU PIZZE'!$A$4:$A$110)+SUMIF('MENU PIZZE'!$K$4:$K$110,B106,'MENU PIZZE'!$A$4:$A$110)+SUMIF('MENU PIZZE'!$L$4:$L$110,B106,'MENU PIZZE'!$A$4:$A$110)</f>
        <v>0</v>
      </c>
      <c r="D106" s="63"/>
      <c r="E106" s="57" t="str">
        <f t="shared" si="1"/>
        <v/>
      </c>
      <c r="F106" s="58" t="str">
        <f t="shared" si="2"/>
        <v/>
      </c>
      <c r="G106" s="55">
        <f t="shared" si="3"/>
        <v>0</v>
      </c>
      <c r="H106" s="59">
        <f>countif('MENU PIZZE'!$E$4:$L$110,B106)</f>
        <v>2</v>
      </c>
      <c r="I106" s="26" t="str">
        <f>IFERROR(VLOOKUP(B106,'Ricette dei preparati'!B:D,3,FALSE),"")</f>
        <v>Ceci, Rosmarino</v>
      </c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</row>
    <row r="107" ht="15.75" customHeight="1">
      <c r="A107" s="53" t="s">
        <v>335</v>
      </c>
      <c r="B107" s="62" t="s">
        <v>195</v>
      </c>
      <c r="C107" s="55">
        <f>SUMIF('MENU PIZZE'!$E$4:$E$110,B107,'MENU PIZZE'!$A$4:$A$110)+SUMIF('MENU PIZZE'!$F$4:$F$110,B107,'MENU PIZZE'!$A$4:$A$110)+SUMIF('MENU PIZZE'!$G$4:$G$110,B107,'MENU PIZZE'!$A$4:$A$110)+SUMIF('MENU PIZZE'!$H$4:$H$110,B107,'MENU PIZZE'!$A$4:$A$110)+SUMIF('MENU PIZZE'!$I$4:$I$110,B107,'MENU PIZZE'!$A$4:$A$110)+SUMIF('MENU PIZZE'!$J$4:$J$110,B107,'MENU PIZZE'!$A$4:$A$110)+SUMIF('MENU PIZZE'!$K$4:$K$110,B107,'MENU PIZZE'!$A$4:$A$110)+SUMIF('MENU PIZZE'!$L$4:$L$110,B107,'MENU PIZZE'!$A$4:$A$110)</f>
        <v>0</v>
      </c>
      <c r="D107" s="38"/>
      <c r="E107" s="57" t="str">
        <f t="shared" si="1"/>
        <v/>
      </c>
      <c r="F107" s="58" t="str">
        <f t="shared" si="2"/>
        <v/>
      </c>
      <c r="G107" s="55">
        <f t="shared" si="3"/>
        <v>0</v>
      </c>
      <c r="H107" s="59">
        <f>countif('MENU PIZZE'!$E$4:$L$110,B107)</f>
        <v>1</v>
      </c>
      <c r="I107" s="26" t="str">
        <f>IFERROR(VLOOKUP(B107,'Ricette dei preparati'!B:D,3,FALSE),"")</f>
        <v>Friarielli</v>
      </c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</row>
    <row r="108" ht="15.75" customHeight="1">
      <c r="A108" s="53" t="s">
        <v>335</v>
      </c>
      <c r="B108" s="62" t="s">
        <v>216</v>
      </c>
      <c r="C108" s="55">
        <f>SUMIF('MENU PIZZE'!$E$4:$E$110,B108,'MENU PIZZE'!$A$4:$A$110)+SUMIF('MENU PIZZE'!$F$4:$F$110,B108,'MENU PIZZE'!$A$4:$A$110)+SUMIF('MENU PIZZE'!$G$4:$G$110,B108,'MENU PIZZE'!$A$4:$A$110)+SUMIF('MENU PIZZE'!$H$4:$H$110,B108,'MENU PIZZE'!$A$4:$A$110)+SUMIF('MENU PIZZE'!$I$4:$I$110,B108,'MENU PIZZE'!$A$4:$A$110)+SUMIF('MENU PIZZE'!$J$4:$J$110,B108,'MENU PIZZE'!$A$4:$A$110)+SUMIF('MENU PIZZE'!$K$4:$K$110,B108,'MENU PIZZE'!$A$4:$A$110)+SUMIF('MENU PIZZE'!$L$4:$L$110,B108,'MENU PIZZE'!$A$4:$A$110)</f>
        <v>0</v>
      </c>
      <c r="D108" s="38"/>
      <c r="E108" s="57" t="str">
        <f t="shared" si="1"/>
        <v/>
      </c>
      <c r="F108" s="58" t="str">
        <f t="shared" si="2"/>
        <v/>
      </c>
      <c r="G108" s="55">
        <f t="shared" si="3"/>
        <v>0</v>
      </c>
      <c r="H108" s="59">
        <f>countif('MENU PIZZE'!$E$4:$L$110,B108)</f>
        <v>1</v>
      </c>
      <c r="I108" s="26" t="str">
        <f>IFERROR(VLOOKUP(B108,'Ricette dei preparati'!B:D,3,FALSE),"")</f>
        <v>Melone</v>
      </c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</row>
    <row r="109" ht="15.75" customHeight="1">
      <c r="A109" s="53" t="s">
        <v>335</v>
      </c>
      <c r="B109" s="54" t="s">
        <v>286</v>
      </c>
      <c r="C109" s="55">
        <f>SUMIF('MENU PIZZE'!$E$4:$E$110,B109,'MENU PIZZE'!$A$4:$A$110)+SUMIF('MENU PIZZE'!$F$4:$F$110,B109,'MENU PIZZE'!$A$4:$A$110)+SUMIF('MENU PIZZE'!$G$4:$G$110,B109,'MENU PIZZE'!$A$4:$A$110)+SUMIF('MENU PIZZE'!$H$4:$H$110,B109,'MENU PIZZE'!$A$4:$A$110)+SUMIF('MENU PIZZE'!$I$4:$I$110,B109,'MENU PIZZE'!$A$4:$A$110)+SUMIF('MENU PIZZE'!$J$4:$J$110,B109,'MENU PIZZE'!$A$4:$A$110)+SUMIF('MENU PIZZE'!$K$4:$K$110,B109,'MENU PIZZE'!$A$4:$A$110)+SUMIF('MENU PIZZE'!$L$4:$L$110,B109,'MENU PIZZE'!$A$4:$A$110)</f>
        <v>0</v>
      </c>
      <c r="D109" s="38"/>
      <c r="E109" s="57" t="str">
        <f t="shared" si="1"/>
        <v/>
      </c>
      <c r="F109" s="58" t="str">
        <f t="shared" si="2"/>
        <v/>
      </c>
      <c r="G109" s="55">
        <f t="shared" si="3"/>
        <v>0</v>
      </c>
      <c r="H109" s="59">
        <f>countif('MENU PIZZE'!$E$4:$L$110,B109)</f>
        <v>1</v>
      </c>
      <c r="I109" s="26" t="str">
        <f>IFERROR(VLOOKUP(B109,'Ricette dei preparati'!B:D,3,FALSE),"")</f>
        <v>Sedano, Carota, Cipolla, Patate</v>
      </c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</row>
    <row r="110" ht="15.75" customHeight="1">
      <c r="A110" s="53" t="s">
        <v>335</v>
      </c>
      <c r="B110" s="62" t="s">
        <v>188</v>
      </c>
      <c r="C110" s="55">
        <f>SUMIF('MENU PIZZE'!$E$4:$E$110,B110,'MENU PIZZE'!$A$4:$A$110)+SUMIF('MENU PIZZE'!$F$4:$F$110,B110,'MENU PIZZE'!$A$4:$A$110)+SUMIF('MENU PIZZE'!$G$4:$G$110,B110,'MENU PIZZE'!$A$4:$A$110)+SUMIF('MENU PIZZE'!$H$4:$H$110,B110,'MENU PIZZE'!$A$4:$A$110)+SUMIF('MENU PIZZE'!$I$4:$I$110,B110,'MENU PIZZE'!$A$4:$A$110)+SUMIF('MENU PIZZE'!$J$4:$J$110,B110,'MENU PIZZE'!$A$4:$A$110)+SUMIF('MENU PIZZE'!$K$4:$K$110,B110,'MENU PIZZE'!$A$4:$A$110)+SUMIF('MENU PIZZE'!$L$4:$L$110,B110,'MENU PIZZE'!$A$4:$A$110)</f>
        <v>0</v>
      </c>
      <c r="D110" s="38"/>
      <c r="E110" s="57" t="str">
        <f t="shared" si="1"/>
        <v/>
      </c>
      <c r="F110" s="58" t="str">
        <f t="shared" si="2"/>
        <v/>
      </c>
      <c r="G110" s="55">
        <f t="shared" si="3"/>
        <v>0</v>
      </c>
      <c r="H110" s="59">
        <f>countif('MENU PIZZE'!$E$4:$L$110,B110)</f>
        <v>1</v>
      </c>
      <c r="I110" s="26" t="str">
        <f>IFERROR(VLOOKUP(B110,'Ricette dei preparati'!B:D,3,FALSE),"")</f>
        <v>Sedano, Carota, Cipolla, Patate</v>
      </c>
    </row>
    <row r="111" ht="15.75" customHeight="1">
      <c r="A111" s="53" t="s">
        <v>335</v>
      </c>
      <c r="B111" s="62" t="s">
        <v>144</v>
      </c>
      <c r="C111" s="55">
        <f>SUMIF('MENU PIZZE'!$E$4:$E$110,B111,'MENU PIZZE'!$A$4:$A$110)+SUMIF('MENU PIZZE'!$F$4:$F$110,B111,'MENU PIZZE'!$A$4:$A$110)+SUMIF('MENU PIZZE'!$G$4:$G$110,B111,'MENU PIZZE'!$A$4:$A$110)+SUMIF('MENU PIZZE'!$H$4:$H$110,B111,'MENU PIZZE'!$A$4:$A$110)+SUMIF('MENU PIZZE'!$I$4:$I$110,B111,'MENU PIZZE'!$A$4:$A$110)+SUMIF('MENU PIZZE'!$J$4:$J$110,B111,'MENU PIZZE'!$A$4:$A$110)+SUMIF('MENU PIZZE'!$K$4:$K$110,B111,'MENU PIZZE'!$A$4:$A$110)+SUMIF('MENU PIZZE'!$L$4:$L$110,B111,'MENU PIZZE'!$A$4:$A$110)</f>
        <v>0</v>
      </c>
      <c r="D111" s="20"/>
      <c r="E111" s="57" t="str">
        <f t="shared" si="1"/>
        <v/>
      </c>
      <c r="F111" s="58" t="str">
        <f t="shared" si="2"/>
        <v/>
      </c>
      <c r="G111" s="55">
        <f t="shared" si="3"/>
        <v>0</v>
      </c>
      <c r="H111" s="59">
        <f>countif('MENU PIZZE'!$E$4:$L$110,B111)</f>
        <v>1</v>
      </c>
      <c r="I111" s="26" t="str">
        <f>IFERROR(VLOOKUP(B111,'Ricette dei preparati'!B:D,3,FALSE),"")</f>
        <v>Pecorino, Burro, Latte, Farina</v>
      </c>
    </row>
    <row r="112" ht="15.75" customHeight="1">
      <c r="A112" s="53" t="s">
        <v>335</v>
      </c>
      <c r="B112" s="62" t="s">
        <v>152</v>
      </c>
      <c r="C112" s="55">
        <f>SUMIF('MENU PIZZE'!$E$4:$E$110,B112,'MENU PIZZE'!$A$4:$A$110)+SUMIF('MENU PIZZE'!$F$4:$F$110,B112,'MENU PIZZE'!$A$4:$A$110)+SUMIF('MENU PIZZE'!$G$4:$G$110,B112,'MENU PIZZE'!$A$4:$A$110)+SUMIF('MENU PIZZE'!$H$4:$H$110,B112,'MENU PIZZE'!$A$4:$A$110)+SUMIF('MENU PIZZE'!$I$4:$I$110,B112,'MENU PIZZE'!$A$4:$A$110)+SUMIF('MENU PIZZE'!$J$4:$J$110,B112,'MENU PIZZE'!$A$4:$A$110)+SUMIF('MENU PIZZE'!$K$4:$K$110,B112,'MENU PIZZE'!$A$4:$A$110)+SUMIF('MENU PIZZE'!$L$4:$L$110,B112,'MENU PIZZE'!$A$4:$A$110)</f>
        <v>0</v>
      </c>
      <c r="D112" s="20"/>
      <c r="E112" s="57" t="str">
        <f t="shared" si="1"/>
        <v/>
      </c>
      <c r="F112" s="58" t="str">
        <f t="shared" si="2"/>
        <v/>
      </c>
      <c r="G112" s="55">
        <f t="shared" si="3"/>
        <v>0</v>
      </c>
      <c r="H112" s="59">
        <f>countif('MENU PIZZE'!$E$4:$L$110,B112)</f>
        <v>1</v>
      </c>
      <c r="I112" s="26" t="str">
        <f>IFERROR(VLOOKUP(B112,'Ricette dei preparati'!B:D,3,FALSE),"")</f>
        <v>Piselli, Panna, cipolla o cipollotto</v>
      </c>
    </row>
    <row r="113" ht="15.75" customHeight="1">
      <c r="A113" s="53" t="s">
        <v>335</v>
      </c>
      <c r="B113" s="62" t="s">
        <v>191</v>
      </c>
      <c r="C113" s="55">
        <f>SUMIF('MENU PIZZE'!$E$4:$E$110,B113,'MENU PIZZE'!$A$4:$A$110)+SUMIF('MENU PIZZE'!$F$4:$F$110,B113,'MENU PIZZE'!$A$4:$A$110)+SUMIF('MENU PIZZE'!$G$4:$G$110,B113,'MENU PIZZE'!$A$4:$A$110)+SUMIF('MENU PIZZE'!$H$4:$H$110,B113,'MENU PIZZE'!$A$4:$A$110)+SUMIF('MENU PIZZE'!$I$4:$I$110,B113,'MENU PIZZE'!$A$4:$A$110)+SUMIF('MENU PIZZE'!$J$4:$J$110,B113,'MENU PIZZE'!$A$4:$A$110)+SUMIF('MENU PIZZE'!$K$4:$K$110,B113,'MENU PIZZE'!$A$4:$A$110)+SUMIF('MENU PIZZE'!$L$4:$L$110,B113,'MENU PIZZE'!$A$4:$A$110)</f>
        <v>0</v>
      </c>
      <c r="D113" s="38"/>
      <c r="E113" s="57" t="str">
        <f t="shared" si="1"/>
        <v/>
      </c>
      <c r="F113" s="58" t="str">
        <f t="shared" si="2"/>
        <v/>
      </c>
      <c r="G113" s="55">
        <f t="shared" si="3"/>
        <v>0</v>
      </c>
      <c r="H113" s="59">
        <f>countif('MENU PIZZE'!$E$4:$L$110,B113)</f>
        <v>1</v>
      </c>
      <c r="I113" s="26" t="str">
        <f>IFERROR(VLOOKUP(B113,'Ricette dei preparati'!B:D,3,FALSE),"")</f>
        <v>Zucchine, Porri, Panna</v>
      </c>
    </row>
    <row r="114" ht="15.75" customHeight="1">
      <c r="A114" s="53" t="s">
        <v>335</v>
      </c>
      <c r="B114" s="54" t="s">
        <v>287</v>
      </c>
      <c r="C114" s="55">
        <f>SUMIF('MENU PIZZE'!$E$4:$E$110,B114,'MENU PIZZE'!$A$4:$A$110)+SUMIF('MENU PIZZE'!$F$4:$F$110,B114,'MENU PIZZE'!$A$4:$A$110)+SUMIF('MENU PIZZE'!$G$4:$G$110,B114,'MENU PIZZE'!$A$4:$A$110)+SUMIF('MENU PIZZE'!$H$4:$H$110,B114,'MENU PIZZE'!$A$4:$A$110)+SUMIF('MENU PIZZE'!$I$4:$I$110,B114,'MENU PIZZE'!$A$4:$A$110)+SUMIF('MENU PIZZE'!$J$4:$J$110,B114,'MENU PIZZE'!$A$4:$A$110)+SUMIF('MENU PIZZE'!$K$4:$K$110,B114,'MENU PIZZE'!$A$4:$A$110)+SUMIF('MENU PIZZE'!$L$4:$L$110,B114,'MENU PIZZE'!$A$4:$A$110)</f>
        <v>0</v>
      </c>
      <c r="D114" s="38"/>
      <c r="E114" s="57" t="str">
        <f t="shared" si="1"/>
        <v/>
      </c>
      <c r="F114" s="58" t="str">
        <f t="shared" si="2"/>
        <v/>
      </c>
      <c r="G114" s="55">
        <f t="shared" si="3"/>
        <v>0</v>
      </c>
      <c r="H114" s="59">
        <f>countif('MENU PIZZE'!$E$4:$L$110,B114)</f>
        <v>1</v>
      </c>
      <c r="I114" s="26" t="str">
        <f>IFERROR(VLOOKUP(B114,'Ricette dei preparati'!B:D,3,FALSE),"")</f>
        <v>Patate</v>
      </c>
    </row>
    <row r="115" ht="15.75" customHeight="1">
      <c r="A115" s="53" t="s">
        <v>335</v>
      </c>
      <c r="B115" s="62" t="s">
        <v>205</v>
      </c>
      <c r="C115" s="55">
        <f>SUMIF('MENU PIZZE'!$E$4:$E$110,B115,'MENU PIZZE'!$A$4:$A$110)+SUMIF('MENU PIZZE'!$F$4:$F$110,B115,'MENU PIZZE'!$A$4:$A$110)+SUMIF('MENU PIZZE'!$G$4:$G$110,B115,'MENU PIZZE'!$A$4:$A$110)+SUMIF('MENU PIZZE'!$H$4:$H$110,B115,'MENU PIZZE'!$A$4:$A$110)+SUMIF('MENU PIZZE'!$I$4:$I$110,B115,'MENU PIZZE'!$A$4:$A$110)+SUMIF('MENU PIZZE'!$J$4:$J$110,B115,'MENU PIZZE'!$A$4:$A$110)+SUMIF('MENU PIZZE'!$K$4:$K$110,B115,'MENU PIZZE'!$A$4:$A$110)+SUMIF('MENU PIZZE'!$L$4:$L$110,B115,'MENU PIZZE'!$A$4:$A$110)</f>
        <v>0</v>
      </c>
      <c r="D115" s="38"/>
      <c r="E115" s="57" t="str">
        <f t="shared" si="1"/>
        <v/>
      </c>
      <c r="F115" s="58" t="str">
        <f t="shared" si="2"/>
        <v/>
      </c>
      <c r="G115" s="55">
        <f t="shared" si="3"/>
        <v>0</v>
      </c>
      <c r="H115" s="59">
        <f>countif('MENU PIZZE'!$E$4:$L$110,B115)</f>
        <v>1</v>
      </c>
      <c r="I115" s="26" t="str">
        <f>IFERROR(VLOOKUP(B115,'Ricette dei preparati'!B:D,3,FALSE),"")</f>
        <v>Finocchi</v>
      </c>
    </row>
    <row r="116" ht="15.75" customHeight="1">
      <c r="A116" s="53" t="s">
        <v>335</v>
      </c>
      <c r="B116" s="62" t="s">
        <v>78</v>
      </c>
      <c r="C116" s="55">
        <f>SUMIF('MENU PIZZE'!$E$4:$E$110,B116,'MENU PIZZE'!$A$4:$A$110)+SUMIF('MENU PIZZE'!$F$4:$F$110,B116,'MENU PIZZE'!$A$4:$A$110)+SUMIF('MENU PIZZE'!$G$4:$G$110,B116,'MENU PIZZE'!$A$4:$A$110)+SUMIF('MENU PIZZE'!$H$4:$H$110,B116,'MENU PIZZE'!$A$4:$A$110)+SUMIF('MENU PIZZE'!$I$4:$I$110,B116,'MENU PIZZE'!$A$4:$A$110)+SUMIF('MENU PIZZE'!$J$4:$J$110,B116,'MENU PIZZE'!$A$4:$A$110)+SUMIF('MENU PIZZE'!$K$4:$K$110,B116,'MENU PIZZE'!$A$4:$A$110)+SUMIF('MENU PIZZE'!$L$4:$L$110,B116,'MENU PIZZE'!$A$4:$A$110)</f>
        <v>0</v>
      </c>
      <c r="D116" s="20"/>
      <c r="E116" s="57" t="str">
        <f t="shared" si="1"/>
        <v/>
      </c>
      <c r="F116" s="58" t="str">
        <f t="shared" si="2"/>
        <v/>
      </c>
      <c r="G116" s="55">
        <f t="shared" si="3"/>
        <v>0</v>
      </c>
      <c r="H116" s="59">
        <f>countif('MENU PIZZE'!$E$4:$L$110,B116)</f>
        <v>1</v>
      </c>
      <c r="I116" s="26" t="str">
        <f>IFERROR(VLOOKUP(B116,'Ricette dei preparati'!B:D,3,FALSE),"")</f>
        <v>Uova, Olio, Wasabi, Limone</v>
      </c>
    </row>
    <row r="117" ht="15.75" customHeight="1">
      <c r="A117" s="53" t="s">
        <v>335</v>
      </c>
      <c r="B117" s="62" t="s">
        <v>194</v>
      </c>
      <c r="C117" s="55">
        <f>SUMIF('MENU PIZZE'!$E$4:$E$110,B117,'MENU PIZZE'!$A$4:$A$110)+SUMIF('MENU PIZZE'!$F$4:$F$110,B117,'MENU PIZZE'!$A$4:$A$110)+SUMIF('MENU PIZZE'!$G$4:$G$110,B117,'MENU PIZZE'!$A$4:$A$110)+SUMIF('MENU PIZZE'!$H$4:$H$110,B117,'MENU PIZZE'!$A$4:$A$110)+SUMIF('MENU PIZZE'!$I$4:$I$110,B117,'MENU PIZZE'!$A$4:$A$110)+SUMIF('MENU PIZZE'!$J$4:$J$110,B117,'MENU PIZZE'!$A$4:$A$110)+SUMIF('MENU PIZZE'!$K$4:$K$110,B117,'MENU PIZZE'!$A$4:$A$110)+SUMIF('MENU PIZZE'!$L$4:$L$110,B117,'MENU PIZZE'!$A$4:$A$110)</f>
        <v>0</v>
      </c>
      <c r="D117" s="38"/>
      <c r="E117" s="57" t="str">
        <f t="shared" si="1"/>
        <v/>
      </c>
      <c r="F117" s="58" t="str">
        <f t="shared" si="2"/>
        <v/>
      </c>
      <c r="G117" s="55">
        <f t="shared" si="3"/>
        <v>0</v>
      </c>
      <c r="H117" s="59">
        <f>countif('MENU PIZZE'!$E$4:$L$110,B117)</f>
        <v>1</v>
      </c>
      <c r="I117" s="26" t="str">
        <f>IFERROR(VLOOKUP(B117,'Ricette dei preparati'!B:D,3,FALSE),"")</f>
        <v>Carpaccio di manzo, Salsa di soia, Aceto Balsamico, Zenzero, Peperoncino</v>
      </c>
    </row>
    <row r="118" ht="15.75" customHeight="1">
      <c r="A118" s="53" t="s">
        <v>335</v>
      </c>
      <c r="B118" s="62" t="s">
        <v>255</v>
      </c>
      <c r="C118" s="55">
        <f>SUMIF('MENU PIZZE'!$E$4:$E$110,B118,'MENU PIZZE'!$A$4:$A$110)+SUMIF('MENU PIZZE'!$F$4:$F$110,B118,'MENU PIZZE'!$A$4:$A$110)+SUMIF('MENU PIZZE'!$G$4:$G$110,B118,'MENU PIZZE'!$A$4:$A$110)+SUMIF('MENU PIZZE'!$H$4:$H$110,B118,'MENU PIZZE'!$A$4:$A$110)+SUMIF('MENU PIZZE'!$I$4:$I$110,B118,'MENU PIZZE'!$A$4:$A$110)+SUMIF('MENU PIZZE'!$J$4:$J$110,B118,'MENU PIZZE'!$A$4:$A$110)+SUMIF('MENU PIZZE'!$K$4:$K$110,B118,'MENU PIZZE'!$A$4:$A$110)+SUMIF('MENU PIZZE'!$L$4:$L$110,B118,'MENU PIZZE'!$A$4:$A$110)</f>
        <v>0</v>
      </c>
      <c r="D118" s="38"/>
      <c r="E118" s="57" t="str">
        <f t="shared" si="1"/>
        <v/>
      </c>
      <c r="F118" s="58" t="str">
        <f t="shared" si="2"/>
        <v/>
      </c>
      <c r="G118" s="55">
        <f t="shared" si="3"/>
        <v>0</v>
      </c>
      <c r="H118" s="59">
        <f>countif('MENU PIZZE'!$E$4:$L$110,B118)</f>
        <v>1</v>
      </c>
      <c r="I118" s="26" t="str">
        <f>IFERROR(VLOOKUP(B118,'Ricette dei preparati'!B:D,3,FALSE),"")</f>
        <v>Melanzane</v>
      </c>
    </row>
    <row r="119" ht="15.75" customHeight="1">
      <c r="A119" s="53" t="s">
        <v>335</v>
      </c>
      <c r="B119" s="62" t="s">
        <v>156</v>
      </c>
      <c r="C119" s="55">
        <f>SUMIF('MENU PIZZE'!$E$4:$E$110,B119,'MENU PIZZE'!$A$4:$A$110)+SUMIF('MENU PIZZE'!$F$4:$F$110,B119,'MENU PIZZE'!$A$4:$A$110)+SUMIF('MENU PIZZE'!$G$4:$G$110,B119,'MENU PIZZE'!$A$4:$A$110)+SUMIF('MENU PIZZE'!$H$4:$H$110,B119,'MENU PIZZE'!$A$4:$A$110)+SUMIF('MENU PIZZE'!$I$4:$I$110,B119,'MENU PIZZE'!$A$4:$A$110)+SUMIF('MENU PIZZE'!$J$4:$J$110,B119,'MENU PIZZE'!$A$4:$A$110)+SUMIF('MENU PIZZE'!$K$4:$K$110,B119,'MENU PIZZE'!$A$4:$A$110)+SUMIF('MENU PIZZE'!$L$4:$L$110,B119,'MENU PIZZE'!$A$4:$A$110)</f>
        <v>0</v>
      </c>
      <c r="D119" s="38"/>
      <c r="E119" s="57" t="str">
        <f t="shared" si="1"/>
        <v/>
      </c>
      <c r="F119" s="58" t="str">
        <f t="shared" si="2"/>
        <v/>
      </c>
      <c r="G119" s="55">
        <f t="shared" si="3"/>
        <v>0</v>
      </c>
      <c r="H119" s="59">
        <f>countif('MENU PIZZE'!$E$4:$L$110,B119)</f>
        <v>1</v>
      </c>
      <c r="I119" s="26" t="str">
        <f>IFERROR(VLOOKUP(B119,'Ricette dei preparati'!B:D,3,FALSE),"")</f>
        <v>Patate, Aglio, Rosmarino</v>
      </c>
    </row>
    <row r="120" ht="15.75" customHeight="1">
      <c r="A120" s="53" t="s">
        <v>335</v>
      </c>
      <c r="B120" s="62" t="s">
        <v>181</v>
      </c>
      <c r="C120" s="55">
        <f>SUMIF('MENU PIZZE'!$E$4:$E$110,B120,'MENU PIZZE'!$A$4:$A$110)+SUMIF('MENU PIZZE'!$F$4:$F$110,B120,'MENU PIZZE'!$A$4:$A$110)+SUMIF('MENU PIZZE'!$G$4:$G$110,B120,'MENU PIZZE'!$A$4:$A$110)+SUMIF('MENU PIZZE'!$H$4:$H$110,B120,'MENU PIZZE'!$A$4:$A$110)+SUMIF('MENU PIZZE'!$I$4:$I$110,B120,'MENU PIZZE'!$A$4:$A$110)+SUMIF('MENU PIZZE'!$J$4:$J$110,B120,'MENU PIZZE'!$A$4:$A$110)+SUMIF('MENU PIZZE'!$K$4:$K$110,B120,'MENU PIZZE'!$A$4:$A$110)+SUMIF('MENU PIZZE'!$L$4:$L$110,B120,'MENU PIZZE'!$A$4:$A$110)</f>
        <v>0</v>
      </c>
      <c r="D120" s="38"/>
      <c r="E120" s="57" t="str">
        <f t="shared" si="1"/>
        <v/>
      </c>
      <c r="F120" s="58" t="str">
        <f t="shared" si="2"/>
        <v/>
      </c>
      <c r="G120" s="55">
        <f t="shared" si="3"/>
        <v>0</v>
      </c>
      <c r="H120" s="59">
        <f>countif('MENU PIZZE'!$E$4:$L$110,B120)</f>
        <v>1</v>
      </c>
      <c r="I120" s="26" t="str">
        <f>IFERROR(VLOOKUP(B120,'Ricette dei preparati'!B:D,3,FALSE),"")</f>
        <v>Rucola, Pinoli, Pecorino, Parmigiano</v>
      </c>
    </row>
    <row r="121" ht="15.75" customHeight="1">
      <c r="A121" s="53" t="s">
        <v>335</v>
      </c>
      <c r="B121" s="62" t="s">
        <v>54</v>
      </c>
      <c r="C121" s="55">
        <f>SUMIF('MENU PIZZE'!$E$4:$E$110,B121,'MENU PIZZE'!$A$4:$A$110)+SUMIF('MENU PIZZE'!$F$4:$F$110,B121,'MENU PIZZE'!$A$4:$A$110)+SUMIF('MENU PIZZE'!$G$4:$G$110,B121,'MENU PIZZE'!$A$4:$A$110)+SUMIF('MENU PIZZE'!$H$4:$H$110,B121,'MENU PIZZE'!$A$4:$A$110)+SUMIF('MENU PIZZE'!$I$4:$I$110,B121,'MENU PIZZE'!$A$4:$A$110)+SUMIF('MENU PIZZE'!$J$4:$J$110,B121,'MENU PIZZE'!$A$4:$A$110)+SUMIF('MENU PIZZE'!$K$4:$K$110,B121,'MENU PIZZE'!$A$4:$A$110)+SUMIF('MENU PIZZE'!$L$4:$L$110,B121,'MENU PIZZE'!$A$4:$A$110)</f>
        <v>0</v>
      </c>
      <c r="D121" s="60"/>
      <c r="E121" s="57" t="str">
        <f t="shared" si="1"/>
        <v/>
      </c>
      <c r="F121" s="58" t="str">
        <f t="shared" si="2"/>
        <v/>
      </c>
      <c r="G121" s="55">
        <f t="shared" si="3"/>
        <v>0</v>
      </c>
      <c r="H121" s="59">
        <f>countif('MENU PIZZE'!$E$4:$L$110,B121)</f>
        <v>1</v>
      </c>
      <c r="I121" s="26" t="str">
        <f>IFERROR(VLOOKUP(B121,'Ricette dei preparati'!B:D,3,FALSE),"")</f>
        <v>Pomodori secchi, Olio, Aglio, Peperoncino, Origano, Timo, Capperi</v>
      </c>
    </row>
    <row r="122" ht="15.75" customHeight="1">
      <c r="A122" s="53" t="s">
        <v>335</v>
      </c>
      <c r="B122" s="62" t="s">
        <v>72</v>
      </c>
      <c r="C122" s="55">
        <f>SUMIF('MENU PIZZE'!$E$4:$E$110,B122,'MENU PIZZE'!$A$4:$A$110)+SUMIF('MENU PIZZE'!$F$4:$F$110,B122,'MENU PIZZE'!$A$4:$A$110)+SUMIF('MENU PIZZE'!$G$4:$G$110,B122,'MENU PIZZE'!$A$4:$A$110)+SUMIF('MENU PIZZE'!$H$4:$H$110,B122,'MENU PIZZE'!$A$4:$A$110)+SUMIF('MENU PIZZE'!$I$4:$I$110,B122,'MENU PIZZE'!$A$4:$A$110)+SUMIF('MENU PIZZE'!$J$4:$J$110,B122,'MENU PIZZE'!$A$4:$A$110)+SUMIF('MENU PIZZE'!$K$4:$K$110,B122,'MENU PIZZE'!$A$4:$A$110)+SUMIF('MENU PIZZE'!$L$4:$L$110,B122,'MENU PIZZE'!$A$4:$A$110)</f>
        <v>0</v>
      </c>
      <c r="D122" s="38"/>
      <c r="E122" s="57" t="str">
        <f t="shared" si="1"/>
        <v/>
      </c>
      <c r="F122" s="58" t="str">
        <f t="shared" si="2"/>
        <v/>
      </c>
      <c r="G122" s="55">
        <f t="shared" si="3"/>
        <v>0</v>
      </c>
      <c r="H122" s="59">
        <f>countif('MENU PIZZE'!$E$4:$L$110,B122)</f>
        <v>3</v>
      </c>
      <c r="I122" s="26" t="str">
        <f>IFERROR(VLOOKUP(B122,'Ricette dei preparati'!B:D,3,FALSE),"")</f>
        <v>Polpa di pomodoro, cipolla, carote, aglio</v>
      </c>
    </row>
    <row r="123" ht="15.75" customHeight="1">
      <c r="A123" s="53" t="s">
        <v>335</v>
      </c>
      <c r="B123" s="54" t="s">
        <v>301</v>
      </c>
      <c r="C123" s="55">
        <f>SUMIF('MENU PIZZE'!$E$4:$E$110,B123,'MENU PIZZE'!$A$4:$A$110)+SUMIF('MENU PIZZE'!$F$4:$F$110,B123,'MENU PIZZE'!$A$4:$A$110)+SUMIF('MENU PIZZE'!$G$4:$G$110,B123,'MENU PIZZE'!$A$4:$A$110)+SUMIF('MENU PIZZE'!$H$4:$H$110,B123,'MENU PIZZE'!$A$4:$A$110)+SUMIF('MENU PIZZE'!$I$4:$I$110,B123,'MENU PIZZE'!$A$4:$A$110)+SUMIF('MENU PIZZE'!$J$4:$J$110,B123,'MENU PIZZE'!$A$4:$A$110)+SUMIF('MENU PIZZE'!$K$4:$K$110,B123,'MENU PIZZE'!$A$4:$A$110)+SUMIF('MENU PIZZE'!$L$4:$L$110,B123,'MENU PIZZE'!$A$4:$A$110)</f>
        <v>0</v>
      </c>
      <c r="D123" s="38"/>
      <c r="E123" s="57" t="str">
        <f t="shared" si="1"/>
        <v/>
      </c>
      <c r="F123" s="58" t="str">
        <f t="shared" si="2"/>
        <v/>
      </c>
      <c r="G123" s="55">
        <f t="shared" si="3"/>
        <v>0</v>
      </c>
      <c r="H123" s="59">
        <f>countif('MENU PIZZE'!$E$4:$L$110,B123)</f>
        <v>1</v>
      </c>
      <c r="I123" s="26" t="str">
        <f>IFERROR(VLOOKUP(B123,'Ricette dei preparati'!B:D,3,FALSE),"")</f>
        <v/>
      </c>
    </row>
    <row r="124" ht="15.75" customHeight="1">
      <c r="A124" s="53" t="s">
        <v>335</v>
      </c>
      <c r="B124" s="62" t="s">
        <v>82</v>
      </c>
      <c r="C124" s="55">
        <f>SUMIF('MENU PIZZE'!$E$4:$E$110,B124,'MENU PIZZE'!$A$4:$A$110)+SUMIF('MENU PIZZE'!$F$4:$F$110,B124,'MENU PIZZE'!$A$4:$A$110)+SUMIF('MENU PIZZE'!$G$4:$G$110,B124,'MENU PIZZE'!$A$4:$A$110)+SUMIF('MENU PIZZE'!$H$4:$H$110,B124,'MENU PIZZE'!$A$4:$A$110)+SUMIF('MENU PIZZE'!$I$4:$I$110,B124,'MENU PIZZE'!$A$4:$A$110)+SUMIF('MENU PIZZE'!$J$4:$J$110,B124,'MENU PIZZE'!$A$4:$A$110)+SUMIF('MENU PIZZE'!$K$4:$K$110,B124,'MENU PIZZE'!$A$4:$A$110)+SUMIF('MENU PIZZE'!$L$4:$L$110,B124,'MENU PIZZE'!$A$4:$A$110)</f>
        <v>0</v>
      </c>
      <c r="D124" s="60"/>
      <c r="E124" s="57" t="str">
        <f t="shared" si="1"/>
        <v/>
      </c>
      <c r="F124" s="58" t="str">
        <f t="shared" si="2"/>
        <v/>
      </c>
      <c r="G124" s="55">
        <f t="shared" si="3"/>
        <v>0</v>
      </c>
      <c r="H124" s="59">
        <f>countif('MENU PIZZE'!$E$4:$L$110,B124)</f>
        <v>1</v>
      </c>
      <c r="I124" s="26" t="str">
        <f>IFERROR(VLOOKUP(B124,'Ricette dei preparati'!B:D,3,FALSE),"")</f>
        <v>Uova, Olio arachidi, Aglio, Limone, Sale</v>
      </c>
    </row>
    <row r="125" ht="15.75" customHeight="1">
      <c r="A125" s="53" t="s">
        <v>335</v>
      </c>
      <c r="B125" s="62" t="s">
        <v>148</v>
      </c>
      <c r="C125" s="55">
        <f>SUMIF('MENU PIZZE'!$E$4:$E$110,B125,'MENU PIZZE'!$A$4:$A$110)+SUMIF('MENU PIZZE'!$F$4:$F$110,B125,'MENU PIZZE'!$A$4:$A$110)+SUMIF('MENU PIZZE'!$G$4:$G$110,B125,'MENU PIZZE'!$A$4:$A$110)+SUMIF('MENU PIZZE'!$H$4:$H$110,B125,'MENU PIZZE'!$A$4:$A$110)+SUMIF('MENU PIZZE'!$I$4:$I$110,B125,'MENU PIZZE'!$A$4:$A$110)+SUMIF('MENU PIZZE'!$J$4:$J$110,B125,'MENU PIZZE'!$A$4:$A$110)+SUMIF('MENU PIZZE'!$K$4:$K$110,B125,'MENU PIZZE'!$A$4:$A$110)+SUMIF('MENU PIZZE'!$L$4:$L$110,B125,'MENU PIZZE'!$A$4:$A$110)</f>
        <v>0</v>
      </c>
      <c r="D125" s="60"/>
      <c r="E125" s="57" t="str">
        <f t="shared" si="1"/>
        <v/>
      </c>
      <c r="F125" s="58" t="str">
        <f t="shared" si="2"/>
        <v/>
      </c>
      <c r="G125" s="55">
        <f t="shared" si="3"/>
        <v>0</v>
      </c>
      <c r="H125" s="59">
        <f>countif('MENU PIZZE'!$E$4:$L$110,B125)</f>
        <v>2</v>
      </c>
      <c r="I125" s="26" t="str">
        <f>IFERROR(VLOOKUP(B125,'Ricette dei preparati'!B:D,3,FALSE),"")</f>
        <v>Mango, Senape</v>
      </c>
    </row>
    <row r="126" ht="15.75" customHeight="1">
      <c r="A126" s="53" t="s">
        <v>335</v>
      </c>
      <c r="B126" s="62" t="s">
        <v>96</v>
      </c>
      <c r="C126" s="55">
        <f>SUMIF('MENU PIZZE'!$E$4:$E$110,B126,'MENU PIZZE'!$A$4:$A$110)+SUMIF('MENU PIZZE'!$F$4:$F$110,B126,'MENU PIZZE'!$A$4:$A$110)+SUMIF('MENU PIZZE'!$G$4:$G$110,B126,'MENU PIZZE'!$A$4:$A$110)+SUMIF('MENU PIZZE'!$H$4:$H$110,B126,'MENU PIZZE'!$A$4:$A$110)+SUMIF('MENU PIZZE'!$I$4:$I$110,B126,'MENU PIZZE'!$A$4:$A$110)+SUMIF('MENU PIZZE'!$J$4:$J$110,B126,'MENU PIZZE'!$A$4:$A$110)+SUMIF('MENU PIZZE'!$K$4:$K$110,B126,'MENU PIZZE'!$A$4:$A$110)+SUMIF('MENU PIZZE'!$L$4:$L$110,B126,'MENU PIZZE'!$A$4:$A$110)</f>
        <v>0</v>
      </c>
      <c r="D126" s="38"/>
      <c r="E126" s="57" t="str">
        <f t="shared" si="1"/>
        <v/>
      </c>
      <c r="F126" s="58" t="str">
        <f t="shared" si="2"/>
        <v/>
      </c>
      <c r="G126" s="55">
        <f t="shared" si="3"/>
        <v>0</v>
      </c>
      <c r="H126" s="59">
        <f>countif('MENU PIZZE'!$E$4:$L$110,B126)</f>
        <v>1</v>
      </c>
      <c r="I126" s="26" t="str">
        <f>IFERROR(VLOOKUP(B126,'Ricette dei preparati'!B:D,3,FALSE),"")</f>
        <v>Pistacchi, Parmigiano, Basilico</v>
      </c>
    </row>
    <row r="127" ht="15.75" customHeight="1">
      <c r="A127" s="53" t="s">
        <v>335</v>
      </c>
      <c r="B127" s="62" t="s">
        <v>86</v>
      </c>
      <c r="C127" s="55">
        <f>SUMIF('MENU PIZZE'!$E$4:$E$110,B127,'MENU PIZZE'!$A$4:$A$110)+SUMIF('MENU PIZZE'!$F$4:$F$110,B127,'MENU PIZZE'!$A$4:$A$110)+SUMIF('MENU PIZZE'!$G$4:$G$110,B127,'MENU PIZZE'!$A$4:$A$110)+SUMIF('MENU PIZZE'!$H$4:$H$110,B127,'MENU PIZZE'!$A$4:$A$110)+SUMIF('MENU PIZZE'!$I$4:$I$110,B127,'MENU PIZZE'!$A$4:$A$110)+SUMIF('MENU PIZZE'!$J$4:$J$110,B127,'MENU PIZZE'!$A$4:$A$110)+SUMIF('MENU PIZZE'!$K$4:$K$110,B127,'MENU PIZZE'!$A$4:$A$110)+SUMIF('MENU PIZZE'!$L$4:$L$110,B127,'MENU PIZZE'!$A$4:$A$110)</f>
        <v>0</v>
      </c>
      <c r="D127" s="63"/>
      <c r="E127" s="57" t="str">
        <f t="shared" si="1"/>
        <v/>
      </c>
      <c r="F127" s="58" t="str">
        <f t="shared" si="2"/>
        <v/>
      </c>
      <c r="G127" s="55">
        <f t="shared" si="3"/>
        <v>0</v>
      </c>
      <c r="H127" s="59">
        <f>countif('MENU PIZZE'!$E$4:$L$110,B127)</f>
        <v>1</v>
      </c>
      <c r="I127" s="26" t="str">
        <f>IFERROR(VLOOKUP(B127,'Ricette dei preparati'!B:D,3,FALSE),"")</f>
        <v>Carne, Brodo di carne, Vino rosso, Aglio, Cipolla, Carota, Sedano</v>
      </c>
    </row>
    <row r="128" ht="15.75" customHeight="1">
      <c r="A128" s="53" t="s">
        <v>335</v>
      </c>
      <c r="B128" s="62" t="s">
        <v>182</v>
      </c>
      <c r="C128" s="55">
        <f>SUMIF('MENU PIZZE'!$E$4:$E$110,B128,'MENU PIZZE'!$A$4:$A$110)+SUMIF('MENU PIZZE'!$F$4:$F$110,B128,'MENU PIZZE'!$A$4:$A$110)+SUMIF('MENU PIZZE'!$G$4:$G$110,B128,'MENU PIZZE'!$A$4:$A$110)+SUMIF('MENU PIZZE'!$H$4:$H$110,B128,'MENU PIZZE'!$A$4:$A$110)+SUMIF('MENU PIZZE'!$I$4:$I$110,B128,'MENU PIZZE'!$A$4:$A$110)+SUMIF('MENU PIZZE'!$J$4:$J$110,B128,'MENU PIZZE'!$A$4:$A$110)+SUMIF('MENU PIZZE'!$K$4:$K$110,B128,'MENU PIZZE'!$A$4:$A$110)+SUMIF('MENU PIZZE'!$L$4:$L$110,B128,'MENU PIZZE'!$A$4:$A$110)</f>
        <v>0</v>
      </c>
      <c r="D128" s="38"/>
      <c r="E128" s="57" t="str">
        <f t="shared" si="1"/>
        <v/>
      </c>
      <c r="F128" s="58" t="str">
        <f t="shared" si="2"/>
        <v/>
      </c>
      <c r="G128" s="55">
        <f t="shared" si="3"/>
        <v>0</v>
      </c>
      <c r="H128" s="59">
        <f>countif('MENU PIZZE'!$E$4:$L$110,B128)</f>
        <v>2</v>
      </c>
      <c r="I128" s="26" t="str">
        <f>IFERROR(VLOOKUP(B128,'Ricette dei preparati'!B:D,3,FALSE),"")</f>
        <v>Fassona (o Chianina), Limone, Parmigiano</v>
      </c>
    </row>
    <row r="129" ht="15.75" customHeight="1">
      <c r="A129" s="53" t="s">
        <v>335</v>
      </c>
      <c r="B129" s="62" t="s">
        <v>314</v>
      </c>
      <c r="C129" s="55">
        <f>SUMIF('MENU PIZZE'!$E$4:$E$110,B129,'MENU PIZZE'!$A$4:$A$110)+SUMIF('MENU PIZZE'!$F$4:$F$110,B129,'MENU PIZZE'!$A$4:$A$110)+SUMIF('MENU PIZZE'!$G$4:$G$110,B129,'MENU PIZZE'!$A$4:$A$110)+SUMIF('MENU PIZZE'!$H$4:$H$110,B129,'MENU PIZZE'!$A$4:$A$110)+SUMIF('MENU PIZZE'!$I$4:$I$110,B129,'MENU PIZZE'!$A$4:$A$110)+SUMIF('MENU PIZZE'!$J$4:$J$110,B129,'MENU PIZZE'!$A$4:$A$110)+SUMIF('MENU PIZZE'!$K$4:$K$110,B129,'MENU PIZZE'!$A$4:$A$110)+SUMIF('MENU PIZZE'!$L$4:$L$110,B129,'MENU PIZZE'!$A$4:$A$110)</f>
        <v>0</v>
      </c>
      <c r="D129" s="38"/>
      <c r="E129" s="57" t="str">
        <f t="shared" si="1"/>
        <v/>
      </c>
      <c r="F129" s="58" t="str">
        <f t="shared" si="2"/>
        <v/>
      </c>
      <c r="G129" s="55">
        <f t="shared" si="3"/>
        <v>0</v>
      </c>
      <c r="H129" s="59">
        <f>countif('MENU PIZZE'!$E$4:$L$110,B129)</f>
        <v>1</v>
      </c>
      <c r="I129" s="26" t="str">
        <f>IFERROR(VLOOKUP(B129,'Ricette dei preparati'!B:D,3,FALSE),"")</f>
        <v>Gamberi, Lime, Menta, Cocco, Kiwi</v>
      </c>
    </row>
    <row r="130" ht="15.75" customHeight="1">
      <c r="A130" s="53" t="s">
        <v>335</v>
      </c>
      <c r="B130" s="62" t="s">
        <v>212</v>
      </c>
      <c r="C130" s="55">
        <f>SUMIF('MENU PIZZE'!$E$4:$E$110,B130,'MENU PIZZE'!$A$4:$A$110)+SUMIF('MENU PIZZE'!$F$4:$F$110,B130,'MENU PIZZE'!$A$4:$A$110)+SUMIF('MENU PIZZE'!$G$4:$G$110,B130,'MENU PIZZE'!$A$4:$A$110)+SUMIF('MENU PIZZE'!$H$4:$H$110,B130,'MENU PIZZE'!$A$4:$A$110)+SUMIF('MENU PIZZE'!$I$4:$I$110,B130,'MENU PIZZE'!$A$4:$A$110)+SUMIF('MENU PIZZE'!$J$4:$J$110,B130,'MENU PIZZE'!$A$4:$A$110)+SUMIF('MENU PIZZE'!$K$4:$K$110,B130,'MENU PIZZE'!$A$4:$A$110)+SUMIF('MENU PIZZE'!$L$4:$L$110,B130,'MENU PIZZE'!$A$4:$A$110)</f>
        <v>0</v>
      </c>
      <c r="D130" s="38"/>
      <c r="E130" s="57" t="str">
        <f t="shared" si="1"/>
        <v/>
      </c>
      <c r="F130" s="58" t="str">
        <f t="shared" si="2"/>
        <v/>
      </c>
      <c r="G130" s="55">
        <f t="shared" si="3"/>
        <v>0</v>
      </c>
      <c r="H130" s="59">
        <f>countif('MENU PIZZE'!$E$4:$L$110,B130)</f>
        <v>1</v>
      </c>
      <c r="I130" s="26" t="str">
        <f>IFERROR(VLOOKUP(B130,'Ricette dei preparati'!B:D,3,FALSE),"")</f>
        <v>Filetti di tonno, Semi di Sesamo, Salsa di Soia, Miele, Zenzero</v>
      </c>
    </row>
    <row r="131" ht="15.75" customHeight="1">
      <c r="A131" s="53" t="s">
        <v>335</v>
      </c>
      <c r="B131" s="62" t="s">
        <v>138</v>
      </c>
      <c r="C131" s="55">
        <f>SUMIF('MENU PIZZE'!$E$4:$E$110,B131,'MENU PIZZE'!$A$4:$A$110)+SUMIF('MENU PIZZE'!$F$4:$F$110,B131,'MENU PIZZE'!$A$4:$A$110)+SUMIF('MENU PIZZE'!$G$4:$G$110,B131,'MENU PIZZE'!$A$4:$A$110)+SUMIF('MENU PIZZE'!$H$4:$H$110,B131,'MENU PIZZE'!$A$4:$A$110)+SUMIF('MENU PIZZE'!$I$4:$I$110,B131,'MENU PIZZE'!$A$4:$A$110)+SUMIF('MENU PIZZE'!$J$4:$J$110,B131,'MENU PIZZE'!$A$4:$A$110)+SUMIF('MENU PIZZE'!$K$4:$K$110,B131,'MENU PIZZE'!$A$4:$A$110)+SUMIF('MENU PIZZE'!$L$4:$L$110,B131,'MENU PIZZE'!$A$4:$A$110)</f>
        <v>0</v>
      </c>
      <c r="D131" s="20"/>
      <c r="E131" s="57" t="str">
        <f t="shared" si="1"/>
        <v/>
      </c>
      <c r="F131" s="58" t="str">
        <f t="shared" si="2"/>
        <v/>
      </c>
      <c r="G131" s="55">
        <f t="shared" si="3"/>
        <v>0</v>
      </c>
      <c r="H131" s="59">
        <f>countif('MENU PIZZE'!$E$4:$L$110,B131)</f>
        <v>4</v>
      </c>
      <c r="I131" s="26" t="str">
        <f>IFERROR(VLOOKUP(B131,'Ricette dei preparati'!B:D,3,FALSE),"")</f>
        <v>Uova, Latte</v>
      </c>
    </row>
    <row r="132" ht="15.75" customHeight="1">
      <c r="A132" s="53" t="s">
        <v>335</v>
      </c>
      <c r="B132" s="62" t="s">
        <v>244</v>
      </c>
      <c r="C132" s="55">
        <f>SUMIF('MENU PIZZE'!$E$4:$E$110,B132,'MENU PIZZE'!$A$4:$A$110)+SUMIF('MENU PIZZE'!$F$4:$F$110,B132,'MENU PIZZE'!$A$4:$A$110)+SUMIF('MENU PIZZE'!$G$4:$G$110,B132,'MENU PIZZE'!$A$4:$A$110)+SUMIF('MENU PIZZE'!$H$4:$H$110,B132,'MENU PIZZE'!$A$4:$A$110)+SUMIF('MENU PIZZE'!$I$4:$I$110,B132,'MENU PIZZE'!$A$4:$A$110)+SUMIF('MENU PIZZE'!$J$4:$J$110,B132,'MENU PIZZE'!$A$4:$A$110)+SUMIF('MENU PIZZE'!$K$4:$K$110,B132,'MENU PIZZE'!$A$4:$A$110)+SUMIF('MENU PIZZE'!$L$4:$L$110,B132,'MENU PIZZE'!$A$4:$A$110)</f>
        <v>0</v>
      </c>
      <c r="D132" s="20"/>
      <c r="E132" s="57" t="str">
        <f t="shared" si="1"/>
        <v/>
      </c>
      <c r="F132" s="58" t="str">
        <f t="shared" si="2"/>
        <v/>
      </c>
      <c r="G132" s="55">
        <f t="shared" si="3"/>
        <v>0</v>
      </c>
      <c r="H132" s="59">
        <f>countif('MENU PIZZE'!$E$4:$L$110,B132)</f>
        <v>1</v>
      </c>
      <c r="I132" s="26" t="str">
        <f>IFERROR(VLOOKUP(B132,'Ricette dei preparati'!B:D,3,FALSE),"")</f>
        <v>Uova, Sale</v>
      </c>
    </row>
    <row r="133" ht="15.75" customHeight="1">
      <c r="A133" s="53" t="s">
        <v>340</v>
      </c>
      <c r="B133" s="54" t="s">
        <v>263</v>
      </c>
      <c r="C133" s="55">
        <f>SUMIF('MENU PIZZE'!$E$4:$E$110,B133,'MENU PIZZE'!$A$4:$A$110)+SUMIF('MENU PIZZE'!$F$4:$F$110,B133,'MENU PIZZE'!$A$4:$A$110)+SUMIF('MENU PIZZE'!$G$4:$G$110,B133,'MENU PIZZE'!$A$4:$A$110)+SUMIF('MENU PIZZE'!$H$4:$H$110,B133,'MENU PIZZE'!$A$4:$A$110)+SUMIF('MENU PIZZE'!$I$4:$I$110,B133,'MENU PIZZE'!$A$4:$A$110)+SUMIF('MENU PIZZE'!$J$4:$J$110,B133,'MENU PIZZE'!$A$4:$A$110)+SUMIF('MENU PIZZE'!$K$4:$K$110,B133,'MENU PIZZE'!$A$4:$A$110)+SUMIF('MENU PIZZE'!$L$4:$L$110,B133,'MENU PIZZE'!$A$4:$A$110)</f>
        <v>0</v>
      </c>
      <c r="D133" s="38"/>
      <c r="E133" s="57" t="str">
        <f t="shared" si="1"/>
        <v/>
      </c>
      <c r="F133" s="58" t="str">
        <f t="shared" si="2"/>
        <v/>
      </c>
      <c r="G133" s="55">
        <f t="shared" si="3"/>
        <v>0</v>
      </c>
      <c r="H133" s="59">
        <f>countif('MENU PIZZE'!$E$4:$L$110,B133)</f>
        <v>1</v>
      </c>
      <c r="I133" s="26" t="str">
        <f>IFERROR(VLOOKUP(B133,'Ricette dei preparati'!B:D,3,FALSE),"")</f>
        <v/>
      </c>
    </row>
    <row r="134" ht="15.75" customHeight="1">
      <c r="A134" s="53" t="s">
        <v>340</v>
      </c>
      <c r="B134" s="54" t="s">
        <v>253</v>
      </c>
      <c r="C134" s="55">
        <f>SUMIF('MENU PIZZE'!$E$4:$E$110,B134,'MENU PIZZE'!$A$4:$A$110)+SUMIF('MENU PIZZE'!$F$4:$F$110,B134,'MENU PIZZE'!$A$4:$A$110)+SUMIF('MENU PIZZE'!$G$4:$G$110,B134,'MENU PIZZE'!$A$4:$A$110)+SUMIF('MENU PIZZE'!$H$4:$H$110,B134,'MENU PIZZE'!$A$4:$A$110)+SUMIF('MENU PIZZE'!$I$4:$I$110,B134,'MENU PIZZE'!$A$4:$A$110)+SUMIF('MENU PIZZE'!$J$4:$J$110,B134,'MENU PIZZE'!$A$4:$A$110)+SUMIF('MENU PIZZE'!$K$4:$K$110,B134,'MENU PIZZE'!$A$4:$A$110)+SUMIF('MENU PIZZE'!$L$4:$L$110,B134,'MENU PIZZE'!$A$4:$A$110)</f>
        <v>0</v>
      </c>
      <c r="D134" s="38"/>
      <c r="E134" s="57" t="str">
        <f t="shared" si="1"/>
        <v/>
      </c>
      <c r="F134" s="58" t="str">
        <f t="shared" si="2"/>
        <v/>
      </c>
      <c r="G134" s="55">
        <f t="shared" si="3"/>
        <v>0</v>
      </c>
      <c r="H134" s="59">
        <f>countif('MENU PIZZE'!$E$4:$L$110,B134)</f>
        <v>1</v>
      </c>
      <c r="I134" s="26" t="str">
        <f>IFERROR(VLOOKUP(B134,'Ricette dei preparati'!B:D,3,FALSE),"")</f>
        <v/>
      </c>
    </row>
    <row r="135" ht="15.75" customHeight="1">
      <c r="A135" s="53" t="s">
        <v>340</v>
      </c>
      <c r="B135" s="62" t="s">
        <v>206</v>
      </c>
      <c r="C135" s="55">
        <f>SUMIF('MENU PIZZE'!$E$4:$E$110,B135,'MENU PIZZE'!$A$4:$A$110)+SUMIF('MENU PIZZE'!$F$4:$F$110,B135,'MENU PIZZE'!$A$4:$A$110)+SUMIF('MENU PIZZE'!$G$4:$G$110,B135,'MENU PIZZE'!$A$4:$A$110)+SUMIF('MENU PIZZE'!$H$4:$H$110,B135,'MENU PIZZE'!$A$4:$A$110)+SUMIF('MENU PIZZE'!$I$4:$I$110,B135,'MENU PIZZE'!$A$4:$A$110)+SUMIF('MENU PIZZE'!$J$4:$J$110,B135,'MENU PIZZE'!$A$4:$A$110)+SUMIF('MENU PIZZE'!$K$4:$K$110,B135,'MENU PIZZE'!$A$4:$A$110)+SUMIF('MENU PIZZE'!$L$4:$L$110,B135,'MENU PIZZE'!$A$4:$A$110)</f>
        <v>0</v>
      </c>
      <c r="D135" s="38"/>
      <c r="E135" s="57" t="str">
        <f t="shared" si="1"/>
        <v/>
      </c>
      <c r="F135" s="58" t="str">
        <f t="shared" si="2"/>
        <v/>
      </c>
      <c r="G135" s="55">
        <f t="shared" si="3"/>
        <v>0</v>
      </c>
      <c r="H135" s="59">
        <f>countif('MENU PIZZE'!$E$4:$L$110,B135)</f>
        <v>1</v>
      </c>
      <c r="I135" s="26" t="str">
        <f>IFERROR(VLOOKUP(B135,'Ricette dei preparati'!B:D,3,FALSE),"")</f>
        <v/>
      </c>
    </row>
    <row r="136" ht="15.75" customHeight="1">
      <c r="A136" s="53" t="s">
        <v>340</v>
      </c>
      <c r="B136" s="62" t="s">
        <v>59</v>
      </c>
      <c r="C136" s="55">
        <f>SUMIF('MENU PIZZE'!$E$4:$E$110,B136,'MENU PIZZE'!$A$4:$A$110)+SUMIF('MENU PIZZE'!$F$4:$F$110,B136,'MENU PIZZE'!$A$4:$A$110)+SUMIF('MENU PIZZE'!$G$4:$G$110,B136,'MENU PIZZE'!$A$4:$A$110)+SUMIF('MENU PIZZE'!$H$4:$H$110,B136,'MENU PIZZE'!$A$4:$A$110)+SUMIF('MENU PIZZE'!$I$4:$I$110,B136,'MENU PIZZE'!$A$4:$A$110)+SUMIF('MENU PIZZE'!$J$4:$J$110,B136,'MENU PIZZE'!$A$4:$A$110)+SUMIF('MENU PIZZE'!$K$4:$K$110,B136,'MENU PIZZE'!$A$4:$A$110)+SUMIF('MENU PIZZE'!$L$4:$L$110,B136,'MENU PIZZE'!$A$4:$A$110)</f>
        <v>0</v>
      </c>
      <c r="D136" s="63"/>
      <c r="E136" s="57" t="str">
        <f t="shared" si="1"/>
        <v/>
      </c>
      <c r="F136" s="58" t="str">
        <f t="shared" si="2"/>
        <v/>
      </c>
      <c r="G136" s="55">
        <f t="shared" si="3"/>
        <v>0</v>
      </c>
      <c r="H136" s="59">
        <f>countif('MENU PIZZE'!$E$4:$L$110,B136)</f>
        <v>1</v>
      </c>
      <c r="I136" s="26" t="str">
        <f>IFERROR(VLOOKUP(B136,'Ricette dei preparati'!B:D,3,FALSE),"")</f>
        <v/>
      </c>
    </row>
    <row r="137" ht="15.75" customHeight="1">
      <c r="A137" s="53" t="s">
        <v>340</v>
      </c>
      <c r="B137" s="54" t="s">
        <v>213</v>
      </c>
      <c r="C137" s="55">
        <f>SUMIF('MENU PIZZE'!$E$4:$E$110,B137,'MENU PIZZE'!$A$4:$A$110)+SUMIF('MENU PIZZE'!$F$4:$F$110,B137,'MENU PIZZE'!$A$4:$A$110)+SUMIF('MENU PIZZE'!$G$4:$G$110,B137,'MENU PIZZE'!$A$4:$A$110)+SUMIF('MENU PIZZE'!$H$4:$H$110,B137,'MENU PIZZE'!$A$4:$A$110)+SUMIF('MENU PIZZE'!$I$4:$I$110,B137,'MENU PIZZE'!$A$4:$A$110)+SUMIF('MENU PIZZE'!$J$4:$J$110,B137,'MENU PIZZE'!$A$4:$A$110)+SUMIF('MENU PIZZE'!$K$4:$K$110,B137,'MENU PIZZE'!$A$4:$A$110)+SUMIF('MENU PIZZE'!$L$4:$L$110,B137,'MENU PIZZE'!$A$4:$A$110)</f>
        <v>0</v>
      </c>
      <c r="D137" s="38"/>
      <c r="E137" s="57" t="str">
        <f t="shared" si="1"/>
        <v/>
      </c>
      <c r="F137" s="58" t="str">
        <f t="shared" si="2"/>
        <v/>
      </c>
      <c r="G137" s="55">
        <f t="shared" si="3"/>
        <v>0</v>
      </c>
      <c r="H137" s="59">
        <f>countif('MENU PIZZE'!$E$4:$L$110,B137)</f>
        <v>1</v>
      </c>
      <c r="I137" s="26" t="str">
        <f>IFERROR(VLOOKUP(B137,'Ricette dei preparati'!B:D,3,FALSE),"")</f>
        <v/>
      </c>
    </row>
    <row r="138" ht="15.75" customHeight="1">
      <c r="A138" s="53" t="s">
        <v>340</v>
      </c>
      <c r="B138" s="62" t="s">
        <v>130</v>
      </c>
      <c r="C138" s="55">
        <f>SUMIF('MENU PIZZE'!$E$4:$E$110,B138,'MENU PIZZE'!$A$4:$A$110)+SUMIF('MENU PIZZE'!$F$4:$F$110,B138,'MENU PIZZE'!$A$4:$A$110)+SUMIF('MENU PIZZE'!$G$4:$G$110,B138,'MENU PIZZE'!$A$4:$A$110)+SUMIF('MENU PIZZE'!$H$4:$H$110,B138,'MENU PIZZE'!$A$4:$A$110)+SUMIF('MENU PIZZE'!$I$4:$I$110,B138,'MENU PIZZE'!$A$4:$A$110)+SUMIF('MENU PIZZE'!$J$4:$J$110,B138,'MENU PIZZE'!$A$4:$A$110)+SUMIF('MENU PIZZE'!$K$4:$K$110,B138,'MENU PIZZE'!$A$4:$A$110)+SUMIF('MENU PIZZE'!$L$4:$L$110,B138,'MENU PIZZE'!$A$4:$A$110)</f>
        <v>0</v>
      </c>
      <c r="D138" s="38"/>
      <c r="E138" s="57" t="str">
        <f t="shared" si="1"/>
        <v/>
      </c>
      <c r="F138" s="58" t="str">
        <f t="shared" si="2"/>
        <v/>
      </c>
      <c r="G138" s="55">
        <f t="shared" si="3"/>
        <v>0</v>
      </c>
      <c r="H138" s="59">
        <f>countif('MENU PIZZE'!$E$4:$L$110,B138)</f>
        <v>2</v>
      </c>
      <c r="I138" s="26" t="str">
        <f>IFERROR(VLOOKUP(B138,'Ricette dei preparati'!B:D,3,FALSE),"")</f>
        <v/>
      </c>
    </row>
    <row r="139" ht="15.75" customHeight="1">
      <c r="A139" s="53" t="s">
        <v>340</v>
      </c>
      <c r="B139" s="54" t="s">
        <v>277</v>
      </c>
      <c r="C139" s="55">
        <f>SUMIF('MENU PIZZE'!$E$4:$E$110,B139,'MENU PIZZE'!$A$4:$A$110)+SUMIF('MENU PIZZE'!$F$4:$F$110,B139,'MENU PIZZE'!$A$4:$A$110)+SUMIF('MENU PIZZE'!$G$4:$G$110,B139,'MENU PIZZE'!$A$4:$A$110)+SUMIF('MENU PIZZE'!$H$4:$H$110,B139,'MENU PIZZE'!$A$4:$A$110)+SUMIF('MENU PIZZE'!$I$4:$I$110,B139,'MENU PIZZE'!$A$4:$A$110)+SUMIF('MENU PIZZE'!$J$4:$J$110,B139,'MENU PIZZE'!$A$4:$A$110)+SUMIF('MENU PIZZE'!$K$4:$K$110,B139,'MENU PIZZE'!$A$4:$A$110)+SUMIF('MENU PIZZE'!$L$4:$L$110,B139,'MENU PIZZE'!$A$4:$A$110)</f>
        <v>0</v>
      </c>
      <c r="D139" s="38"/>
      <c r="E139" s="57" t="str">
        <f t="shared" si="1"/>
        <v/>
      </c>
      <c r="F139" s="58" t="str">
        <f t="shared" si="2"/>
        <v/>
      </c>
      <c r="G139" s="55">
        <f t="shared" si="3"/>
        <v>0</v>
      </c>
      <c r="H139" s="59">
        <f>countif('MENU PIZZE'!$E$4:$L$110,B139)</f>
        <v>1</v>
      </c>
      <c r="I139" s="26" t="str">
        <f>IFERROR(VLOOKUP(B139,'Ricette dei preparati'!B:D,3,FALSE),"")</f>
        <v/>
      </c>
    </row>
    <row r="140" ht="15.75" customHeight="1">
      <c r="A140" s="53" t="s">
        <v>340</v>
      </c>
      <c r="B140" s="62" t="s">
        <v>69</v>
      </c>
      <c r="C140" s="55">
        <f>SUMIF('MENU PIZZE'!$E$4:$E$110,B140,'MENU PIZZE'!$A$4:$A$110)+SUMIF('MENU PIZZE'!$F$4:$F$110,B140,'MENU PIZZE'!$A$4:$A$110)+SUMIF('MENU PIZZE'!$G$4:$G$110,B140,'MENU PIZZE'!$A$4:$A$110)+SUMIF('MENU PIZZE'!$H$4:$H$110,B140,'MENU PIZZE'!$A$4:$A$110)+SUMIF('MENU PIZZE'!$I$4:$I$110,B140,'MENU PIZZE'!$A$4:$A$110)+SUMIF('MENU PIZZE'!$J$4:$J$110,B140,'MENU PIZZE'!$A$4:$A$110)+SUMIF('MENU PIZZE'!$K$4:$K$110,B140,'MENU PIZZE'!$A$4:$A$110)+SUMIF('MENU PIZZE'!$L$4:$L$110,B140,'MENU PIZZE'!$A$4:$A$110)</f>
        <v>0</v>
      </c>
      <c r="D140" s="38"/>
      <c r="E140" s="57" t="str">
        <f t="shared" si="1"/>
        <v/>
      </c>
      <c r="F140" s="58" t="str">
        <f t="shared" si="2"/>
        <v/>
      </c>
      <c r="G140" s="55">
        <f t="shared" si="3"/>
        <v>0</v>
      </c>
      <c r="H140" s="59">
        <f>countif('MENU PIZZE'!$E$4:$L$110,B140)</f>
        <v>1</v>
      </c>
      <c r="I140" s="26" t="str">
        <f>IFERROR(VLOOKUP(B140,'Ricette dei preparati'!B:D,3,FALSE),"")</f>
        <v/>
      </c>
    </row>
    <row r="141" ht="15.75" customHeight="1">
      <c r="A141" s="53" t="s">
        <v>340</v>
      </c>
      <c r="B141" s="62" t="s">
        <v>68</v>
      </c>
      <c r="C141" s="55">
        <f>SUMIF('MENU PIZZE'!$E$4:$E$110,B141,'MENU PIZZE'!$A$4:$A$110)+SUMIF('MENU PIZZE'!$F$4:$F$110,B141,'MENU PIZZE'!$A$4:$A$110)+SUMIF('MENU PIZZE'!$G$4:$G$110,B141,'MENU PIZZE'!$A$4:$A$110)+SUMIF('MENU PIZZE'!$H$4:$H$110,B141,'MENU PIZZE'!$A$4:$A$110)+SUMIF('MENU PIZZE'!$I$4:$I$110,B141,'MENU PIZZE'!$A$4:$A$110)+SUMIF('MENU PIZZE'!$J$4:$J$110,B141,'MENU PIZZE'!$A$4:$A$110)+SUMIF('MENU PIZZE'!$K$4:$K$110,B141,'MENU PIZZE'!$A$4:$A$110)+SUMIF('MENU PIZZE'!$L$4:$L$110,B141,'MENU PIZZE'!$A$4:$A$110)</f>
        <v>0</v>
      </c>
      <c r="D141" s="38"/>
      <c r="E141" s="57" t="str">
        <f t="shared" si="1"/>
        <v/>
      </c>
      <c r="F141" s="58" t="str">
        <f t="shared" si="2"/>
        <v/>
      </c>
      <c r="G141" s="55">
        <f t="shared" si="3"/>
        <v>0</v>
      </c>
      <c r="H141" s="59">
        <f>countif('MENU PIZZE'!$E$4:$L$110,B141)</f>
        <v>1</v>
      </c>
      <c r="I141" s="26" t="str">
        <f>IFERROR(VLOOKUP(B141,'Ricette dei preparati'!B:D,3,FALSE),"")</f>
        <v/>
      </c>
    </row>
    <row r="142" ht="27.0" customHeight="1">
      <c r="A142" s="68"/>
      <c r="B142" s="68" t="s">
        <v>341</v>
      </c>
      <c r="C142" s="69">
        <f>COUNTIF(C2:C141,"&gt;0")</f>
        <v>17</v>
      </c>
      <c r="D142" s="69"/>
      <c r="E142" s="70"/>
      <c r="F142" s="69">
        <f>COUNTIF(F2:F141,"SI")</f>
        <v>17</v>
      </c>
      <c r="G142" s="68"/>
      <c r="H142" s="68"/>
      <c r="I142" s="68"/>
    </row>
    <row r="143" ht="15.75" customHeight="1">
      <c r="A143" s="71"/>
      <c r="E143" s="72"/>
      <c r="F143" s="73"/>
      <c r="G143" s="71"/>
    </row>
    <row r="144" ht="15.75" customHeight="1">
      <c r="E144" s="72"/>
      <c r="F144" s="73"/>
    </row>
    <row r="145" ht="15.75" customHeight="1">
      <c r="E145" s="72"/>
      <c r="F145" s="73"/>
    </row>
    <row r="146" ht="15.75" customHeight="1">
      <c r="E146" s="72"/>
      <c r="F146" s="73"/>
    </row>
    <row r="147" ht="15.75" customHeight="1">
      <c r="E147" s="72"/>
      <c r="F147" s="73"/>
    </row>
    <row r="148" ht="15.75" customHeight="1">
      <c r="E148" s="72"/>
      <c r="F148" s="73"/>
    </row>
    <row r="149" ht="15.75" customHeight="1">
      <c r="E149" s="72"/>
      <c r="F149" s="73"/>
    </row>
    <row r="150" ht="15.75" customHeight="1">
      <c r="E150" s="72"/>
      <c r="F150" s="73"/>
    </row>
    <row r="151" ht="15.75" customHeight="1">
      <c r="E151" s="72"/>
      <c r="F151" s="73"/>
    </row>
    <row r="152" ht="15.75" customHeight="1">
      <c r="E152" s="72"/>
      <c r="F152" s="73"/>
    </row>
    <row r="153" ht="15.75" customHeight="1">
      <c r="E153" s="72"/>
      <c r="F153" s="73"/>
    </row>
    <row r="154" ht="15.75" customHeight="1">
      <c r="E154" s="72"/>
      <c r="F154" s="73"/>
    </row>
    <row r="155" ht="15.75" customHeight="1">
      <c r="E155" s="72"/>
      <c r="F155" s="73"/>
    </row>
    <row r="156" ht="15.75" customHeight="1">
      <c r="E156" s="72"/>
      <c r="F156" s="73"/>
    </row>
    <row r="157" ht="15.75" customHeight="1">
      <c r="E157" s="72"/>
      <c r="F157" s="73"/>
    </row>
    <row r="158" ht="15.75" customHeight="1">
      <c r="E158" s="72"/>
      <c r="F158" s="73"/>
    </row>
    <row r="159" ht="15.75" customHeight="1">
      <c r="E159" s="72"/>
      <c r="F159" s="73"/>
    </row>
    <row r="160" ht="15.75" customHeight="1">
      <c r="E160" s="72"/>
      <c r="F160" s="73"/>
    </row>
    <row r="161" ht="15.75" customHeight="1">
      <c r="E161" s="72"/>
      <c r="F161" s="73"/>
    </row>
    <row r="162" ht="15.75" customHeight="1">
      <c r="E162" s="72"/>
      <c r="F162" s="73"/>
    </row>
    <row r="163" ht="15.75" customHeight="1">
      <c r="E163" s="72"/>
      <c r="F163" s="73"/>
    </row>
    <row r="164" ht="15.75" customHeight="1">
      <c r="E164" s="72"/>
      <c r="F164" s="73"/>
    </row>
    <row r="165" ht="15.75" customHeight="1">
      <c r="E165" s="72"/>
      <c r="F165" s="73"/>
    </row>
    <row r="166" ht="15.75" customHeight="1">
      <c r="E166" s="72"/>
      <c r="F166" s="73"/>
    </row>
    <row r="167" ht="15.75" customHeight="1">
      <c r="E167" s="72"/>
      <c r="F167" s="73"/>
    </row>
    <row r="168" ht="15.75" customHeight="1">
      <c r="E168" s="72"/>
      <c r="F168" s="73"/>
    </row>
    <row r="169" ht="15.75" customHeight="1">
      <c r="E169" s="72"/>
      <c r="F169" s="73"/>
    </row>
    <row r="170" ht="15.75" customHeight="1">
      <c r="E170" s="72"/>
      <c r="F170" s="73"/>
    </row>
    <row r="171" ht="15.75" customHeight="1">
      <c r="E171" s="72"/>
      <c r="F171" s="73"/>
    </row>
    <row r="172" ht="15.75" customHeight="1">
      <c r="E172" s="72"/>
      <c r="F172" s="73"/>
    </row>
    <row r="173" ht="15.75" customHeight="1">
      <c r="E173" s="72"/>
      <c r="F173" s="73"/>
    </row>
    <row r="174" ht="15.75" customHeight="1">
      <c r="E174" s="72"/>
      <c r="F174" s="73"/>
    </row>
    <row r="175" ht="15.75" customHeight="1">
      <c r="E175" s="72"/>
      <c r="F175" s="73"/>
    </row>
    <row r="176" ht="15.75" customHeight="1">
      <c r="E176" s="72"/>
      <c r="F176" s="73"/>
    </row>
    <row r="177" ht="15.75" customHeight="1">
      <c r="E177" s="72"/>
      <c r="F177" s="73"/>
    </row>
    <row r="178" ht="15.75" customHeight="1">
      <c r="E178" s="72"/>
      <c r="F178" s="73"/>
    </row>
    <row r="179" ht="15.75" customHeight="1">
      <c r="E179" s="72"/>
      <c r="F179" s="73"/>
    </row>
    <row r="180" ht="15.75" customHeight="1">
      <c r="E180" s="72"/>
      <c r="F180" s="73"/>
    </row>
    <row r="181" ht="15.75" customHeight="1">
      <c r="E181" s="72"/>
      <c r="F181" s="73"/>
    </row>
    <row r="182" ht="15.75" customHeight="1">
      <c r="E182" s="72"/>
      <c r="F182" s="73"/>
    </row>
    <row r="183" ht="15.75" customHeight="1">
      <c r="E183" s="72"/>
      <c r="F183" s="73"/>
    </row>
    <row r="184" ht="15.75" customHeight="1">
      <c r="E184" s="72"/>
      <c r="F184" s="73"/>
    </row>
    <row r="185" ht="15.75" customHeight="1">
      <c r="E185" s="72"/>
      <c r="F185" s="73"/>
    </row>
    <row r="186" ht="15.75" customHeight="1">
      <c r="E186" s="72"/>
      <c r="F186" s="73"/>
    </row>
    <row r="187" ht="15.75" customHeight="1">
      <c r="E187" s="72"/>
      <c r="F187" s="73"/>
    </row>
    <row r="188" ht="15.75" customHeight="1">
      <c r="E188" s="72"/>
      <c r="F188" s="73"/>
    </row>
    <row r="189" ht="15.75" customHeight="1">
      <c r="E189" s="72"/>
      <c r="F189" s="73"/>
    </row>
    <row r="190" ht="15.75" customHeight="1">
      <c r="E190" s="72"/>
      <c r="F190" s="73"/>
    </row>
    <row r="191" ht="15.75" customHeight="1">
      <c r="E191" s="72"/>
      <c r="F191" s="73"/>
    </row>
    <row r="192" ht="15.75" customHeight="1">
      <c r="E192" s="72"/>
      <c r="F192" s="73"/>
    </row>
    <row r="193" ht="15.75" customHeight="1">
      <c r="E193" s="72"/>
      <c r="F193" s="73"/>
    </row>
    <row r="194" ht="15.75" customHeight="1">
      <c r="E194" s="72"/>
      <c r="F194" s="73"/>
    </row>
    <row r="195" ht="15.75" customHeight="1">
      <c r="E195" s="72"/>
      <c r="F195" s="73"/>
    </row>
    <row r="196" ht="15.75" customHeight="1">
      <c r="E196" s="72"/>
      <c r="F196" s="73"/>
    </row>
    <row r="197" ht="15.75" customHeight="1">
      <c r="E197" s="72"/>
      <c r="F197" s="73"/>
    </row>
    <row r="198" ht="15.75" customHeight="1">
      <c r="E198" s="72"/>
      <c r="F198" s="73"/>
    </row>
    <row r="199" ht="15.75" customHeight="1">
      <c r="E199" s="72"/>
      <c r="F199" s="73"/>
    </row>
    <row r="200" ht="15.75" customHeight="1">
      <c r="E200" s="72"/>
      <c r="F200" s="73"/>
    </row>
    <row r="201" ht="15.75" customHeight="1">
      <c r="E201" s="72"/>
      <c r="F201" s="73"/>
    </row>
    <row r="202" ht="15.75" customHeight="1">
      <c r="E202" s="72"/>
      <c r="F202" s="73"/>
    </row>
    <row r="203" ht="15.75" customHeight="1">
      <c r="E203" s="72"/>
      <c r="F203" s="73"/>
    </row>
    <row r="204" ht="15.75" customHeight="1">
      <c r="E204" s="72"/>
      <c r="F204" s="73"/>
    </row>
    <row r="205" ht="15.75" customHeight="1">
      <c r="E205" s="72"/>
      <c r="F205" s="73"/>
    </row>
    <row r="206" ht="15.75" customHeight="1">
      <c r="E206" s="72"/>
      <c r="F206" s="73"/>
    </row>
    <row r="207" ht="15.75" customHeight="1">
      <c r="E207" s="72"/>
      <c r="F207" s="73"/>
    </row>
    <row r="208" ht="15.75" customHeight="1">
      <c r="E208" s="72"/>
      <c r="F208" s="73"/>
    </row>
    <row r="209" ht="15.75" customHeight="1">
      <c r="E209" s="72"/>
      <c r="F209" s="73"/>
    </row>
    <row r="210" ht="15.75" customHeight="1">
      <c r="E210" s="72"/>
      <c r="F210" s="73"/>
    </row>
    <row r="211" ht="15.75" customHeight="1">
      <c r="E211" s="72"/>
      <c r="F211" s="73"/>
    </row>
    <row r="212" ht="15.75" customHeight="1">
      <c r="E212" s="72"/>
      <c r="F212" s="73"/>
    </row>
    <row r="213" ht="15.75" customHeight="1">
      <c r="E213" s="72"/>
      <c r="F213" s="73"/>
    </row>
    <row r="214" ht="15.75" customHeight="1">
      <c r="E214" s="72"/>
      <c r="F214" s="73"/>
    </row>
    <row r="215" ht="15.75" customHeight="1">
      <c r="E215" s="72"/>
      <c r="F215" s="73"/>
    </row>
    <row r="216" ht="15.75" customHeight="1">
      <c r="E216" s="72"/>
      <c r="F216" s="73"/>
    </row>
    <row r="217" ht="15.75" customHeight="1">
      <c r="E217" s="72"/>
      <c r="F217" s="73"/>
    </row>
    <row r="218" ht="15.75" customHeight="1">
      <c r="E218" s="72"/>
      <c r="F218" s="73"/>
    </row>
    <row r="219" ht="15.75" customHeight="1">
      <c r="E219" s="72"/>
      <c r="F219" s="73"/>
    </row>
    <row r="220" ht="15.75" customHeight="1">
      <c r="E220" s="72"/>
      <c r="F220" s="73"/>
    </row>
    <row r="221" ht="15.75" customHeight="1">
      <c r="E221" s="72"/>
      <c r="F221" s="73"/>
    </row>
    <row r="222" ht="15.75" customHeight="1">
      <c r="E222" s="72"/>
      <c r="F222" s="73"/>
    </row>
    <row r="223" ht="15.75" customHeight="1">
      <c r="E223" s="72"/>
      <c r="F223" s="73"/>
    </row>
    <row r="224" ht="15.75" customHeight="1">
      <c r="E224" s="72"/>
      <c r="F224" s="73"/>
    </row>
    <row r="225" ht="15.75" customHeight="1">
      <c r="E225" s="72"/>
      <c r="F225" s="73"/>
    </row>
    <row r="226" ht="15.75" customHeight="1">
      <c r="E226" s="72"/>
      <c r="F226" s="73"/>
    </row>
    <row r="227" ht="15.75" customHeight="1">
      <c r="E227" s="72"/>
      <c r="F227" s="73"/>
    </row>
    <row r="228" ht="15.75" customHeight="1">
      <c r="E228" s="72"/>
      <c r="F228" s="73"/>
    </row>
    <row r="229" ht="15.75" customHeight="1">
      <c r="E229" s="72"/>
      <c r="F229" s="73"/>
    </row>
    <row r="230" ht="15.75" customHeight="1">
      <c r="E230" s="72"/>
      <c r="F230" s="73"/>
    </row>
    <row r="231" ht="15.75" customHeight="1">
      <c r="E231" s="72"/>
      <c r="F231" s="73"/>
    </row>
    <row r="232" ht="15.75" customHeight="1">
      <c r="E232" s="72"/>
      <c r="F232" s="73"/>
    </row>
    <row r="233" ht="15.75" customHeight="1">
      <c r="E233" s="72"/>
      <c r="F233" s="73"/>
    </row>
    <row r="234" ht="15.75" customHeight="1">
      <c r="E234" s="72"/>
      <c r="F234" s="73"/>
    </row>
    <row r="235" ht="15.75" customHeight="1">
      <c r="E235" s="72"/>
      <c r="F235" s="73"/>
    </row>
    <row r="236" ht="15.75" customHeight="1">
      <c r="E236" s="72"/>
      <c r="F236" s="73"/>
    </row>
    <row r="237" ht="15.75" customHeight="1">
      <c r="E237" s="72"/>
      <c r="F237" s="73"/>
    </row>
    <row r="238" ht="15.75" customHeight="1">
      <c r="E238" s="72"/>
      <c r="F238" s="73"/>
    </row>
    <row r="239" ht="15.75" customHeight="1">
      <c r="E239" s="72"/>
      <c r="F239" s="73"/>
    </row>
    <row r="240" ht="15.75" customHeight="1">
      <c r="E240" s="72"/>
      <c r="F240" s="73"/>
    </row>
    <row r="241" ht="15.75" customHeight="1">
      <c r="E241" s="72"/>
      <c r="F241" s="73"/>
    </row>
    <row r="242" ht="15.75" customHeight="1">
      <c r="E242" s="72"/>
      <c r="F242" s="73"/>
    </row>
    <row r="243" ht="15.75" customHeight="1">
      <c r="E243" s="72"/>
      <c r="F243" s="73"/>
    </row>
    <row r="244" ht="15.75" customHeight="1">
      <c r="E244" s="72"/>
      <c r="F244" s="73"/>
    </row>
    <row r="245" ht="15.75" customHeight="1">
      <c r="E245" s="72"/>
      <c r="F245" s="73"/>
    </row>
    <row r="246" ht="15.75" customHeight="1">
      <c r="E246" s="72"/>
      <c r="F246" s="73"/>
    </row>
    <row r="247" ht="15.75" customHeight="1">
      <c r="E247" s="72"/>
      <c r="F247" s="73"/>
    </row>
    <row r="248" ht="15.75" customHeight="1">
      <c r="E248" s="72"/>
      <c r="F248" s="73"/>
    </row>
    <row r="249" ht="15.75" customHeight="1">
      <c r="E249" s="72"/>
      <c r="F249" s="73"/>
    </row>
    <row r="250" ht="15.75" customHeight="1">
      <c r="E250" s="72"/>
      <c r="F250" s="73"/>
    </row>
    <row r="251" ht="15.75" customHeight="1">
      <c r="E251" s="72"/>
      <c r="F251" s="73"/>
    </row>
    <row r="252" ht="15.75" customHeight="1">
      <c r="E252" s="72"/>
      <c r="F252" s="73"/>
    </row>
    <row r="253" ht="15.75" customHeight="1">
      <c r="E253" s="72"/>
      <c r="F253" s="73"/>
    </row>
    <row r="254" ht="15.75" customHeight="1">
      <c r="E254" s="72"/>
      <c r="F254" s="73"/>
    </row>
    <row r="255" ht="15.75" customHeight="1">
      <c r="E255" s="72"/>
      <c r="F255" s="73"/>
    </row>
    <row r="256" ht="15.75" customHeight="1">
      <c r="E256" s="72"/>
      <c r="F256" s="73"/>
    </row>
    <row r="257" ht="15.75" customHeight="1">
      <c r="E257" s="72"/>
      <c r="F257" s="73"/>
    </row>
    <row r="258" ht="15.75" customHeight="1">
      <c r="E258" s="72"/>
      <c r="F258" s="73"/>
    </row>
    <row r="259" ht="15.75" customHeight="1">
      <c r="E259" s="72"/>
      <c r="F259" s="73"/>
    </row>
    <row r="260" ht="15.75" customHeight="1">
      <c r="E260" s="72"/>
      <c r="F260" s="73"/>
    </row>
    <row r="261" ht="15.75" customHeight="1">
      <c r="E261" s="72"/>
      <c r="F261" s="73"/>
    </row>
    <row r="262" ht="15.75" customHeight="1">
      <c r="E262" s="72"/>
      <c r="F262" s="73"/>
    </row>
    <row r="263" ht="15.75" customHeight="1">
      <c r="E263" s="72"/>
      <c r="F263" s="73"/>
    </row>
    <row r="264" ht="15.75" customHeight="1">
      <c r="E264" s="72"/>
      <c r="F264" s="73"/>
    </row>
    <row r="265" ht="15.75" customHeight="1">
      <c r="E265" s="72"/>
      <c r="F265" s="73"/>
    </row>
    <row r="266" ht="15.75" customHeight="1">
      <c r="E266" s="72"/>
      <c r="F266" s="73"/>
    </row>
    <row r="267" ht="15.75" customHeight="1">
      <c r="E267" s="72"/>
      <c r="F267" s="73"/>
    </row>
    <row r="268" ht="15.75" customHeight="1">
      <c r="E268" s="72"/>
      <c r="F268" s="73"/>
    </row>
    <row r="269" ht="15.75" customHeight="1">
      <c r="E269" s="72"/>
      <c r="F269" s="73"/>
    </row>
    <row r="270" ht="15.75" customHeight="1">
      <c r="E270" s="72"/>
      <c r="F270" s="73"/>
    </row>
    <row r="271" ht="15.75" customHeight="1">
      <c r="E271" s="72"/>
      <c r="F271" s="73"/>
    </row>
    <row r="272" ht="15.75" customHeight="1">
      <c r="E272" s="72"/>
      <c r="F272" s="73"/>
    </row>
    <row r="273" ht="15.75" customHeight="1">
      <c r="E273" s="72"/>
      <c r="F273" s="73"/>
    </row>
    <row r="274" ht="15.75" customHeight="1">
      <c r="E274" s="72"/>
      <c r="F274" s="73"/>
    </row>
    <row r="275" ht="15.75" customHeight="1">
      <c r="E275" s="72"/>
      <c r="F275" s="73"/>
    </row>
    <row r="276" ht="15.75" customHeight="1">
      <c r="E276" s="72"/>
      <c r="F276" s="73"/>
    </row>
    <row r="277" ht="15.75" customHeight="1">
      <c r="E277" s="72"/>
      <c r="F277" s="73"/>
    </row>
    <row r="278" ht="15.75" customHeight="1">
      <c r="E278" s="72"/>
      <c r="F278" s="73"/>
    </row>
    <row r="279" ht="15.75" customHeight="1">
      <c r="E279" s="72"/>
      <c r="F279" s="73"/>
    </row>
    <row r="280" ht="15.75" customHeight="1">
      <c r="E280" s="72"/>
      <c r="F280" s="73"/>
    </row>
    <row r="281" ht="15.75" customHeight="1">
      <c r="E281" s="72"/>
      <c r="F281" s="73"/>
    </row>
    <row r="282" ht="15.75" customHeight="1">
      <c r="E282" s="72"/>
      <c r="F282" s="73"/>
    </row>
    <row r="283" ht="15.75" customHeight="1">
      <c r="E283" s="72"/>
      <c r="F283" s="73"/>
    </row>
    <row r="284" ht="15.75" customHeight="1">
      <c r="E284" s="72"/>
      <c r="F284" s="73"/>
    </row>
    <row r="285" ht="15.75" customHeight="1">
      <c r="E285" s="72"/>
      <c r="F285" s="73"/>
    </row>
    <row r="286" ht="15.75" customHeight="1">
      <c r="E286" s="72"/>
      <c r="F286" s="73"/>
    </row>
    <row r="287" ht="15.75" customHeight="1">
      <c r="E287" s="72"/>
      <c r="F287" s="73"/>
    </row>
    <row r="288" ht="15.75" customHeight="1">
      <c r="E288" s="72"/>
      <c r="F288" s="73"/>
    </row>
    <row r="289" ht="15.75" customHeight="1">
      <c r="E289" s="72"/>
      <c r="F289" s="73"/>
    </row>
    <row r="290" ht="15.75" customHeight="1">
      <c r="E290" s="72"/>
      <c r="F290" s="73"/>
    </row>
    <row r="291" ht="15.75" customHeight="1">
      <c r="E291" s="72"/>
      <c r="F291" s="73"/>
    </row>
    <row r="292" ht="15.75" customHeight="1">
      <c r="E292" s="72"/>
      <c r="F292" s="73"/>
    </row>
    <row r="293" ht="15.75" customHeight="1">
      <c r="E293" s="72"/>
      <c r="F293" s="73"/>
    </row>
    <row r="294" ht="15.75" customHeight="1">
      <c r="E294" s="72"/>
      <c r="F294" s="73"/>
    </row>
    <row r="295" ht="15.75" customHeight="1">
      <c r="E295" s="72"/>
      <c r="F295" s="73"/>
    </row>
    <row r="296" ht="15.75" customHeight="1">
      <c r="E296" s="72"/>
      <c r="F296" s="73"/>
    </row>
    <row r="297" ht="15.75" customHeight="1">
      <c r="E297" s="72"/>
      <c r="F297" s="73"/>
    </row>
    <row r="298" ht="15.75" customHeight="1">
      <c r="E298" s="72"/>
      <c r="F298" s="73"/>
    </row>
    <row r="299" ht="15.75" customHeight="1">
      <c r="E299" s="72"/>
      <c r="F299" s="73"/>
    </row>
    <row r="300" ht="15.75" customHeight="1">
      <c r="E300" s="72"/>
      <c r="F300" s="73"/>
    </row>
    <row r="301" ht="15.75" customHeight="1">
      <c r="E301" s="72"/>
      <c r="F301" s="73"/>
    </row>
    <row r="302" ht="15.75" customHeight="1">
      <c r="E302" s="72"/>
      <c r="F302" s="73"/>
    </row>
    <row r="303" ht="15.75" customHeight="1">
      <c r="E303" s="72"/>
      <c r="F303" s="73"/>
    </row>
    <row r="304" ht="15.75" customHeight="1">
      <c r="E304" s="72"/>
      <c r="F304" s="73"/>
    </row>
    <row r="305" ht="15.75" customHeight="1">
      <c r="E305" s="72"/>
      <c r="F305" s="73"/>
    </row>
    <row r="306" ht="15.75" customHeight="1">
      <c r="E306" s="72"/>
      <c r="F306" s="73"/>
    </row>
    <row r="307" ht="15.75" customHeight="1">
      <c r="E307" s="72"/>
      <c r="F307" s="73"/>
    </row>
    <row r="308" ht="15.75" customHeight="1">
      <c r="E308" s="72"/>
      <c r="F308" s="73"/>
    </row>
    <row r="309" ht="15.75" customHeight="1">
      <c r="E309" s="72"/>
      <c r="F309" s="73"/>
    </row>
    <row r="310" ht="15.75" customHeight="1">
      <c r="E310" s="72"/>
      <c r="F310" s="73"/>
    </row>
    <row r="311" ht="15.75" customHeight="1">
      <c r="E311" s="72"/>
      <c r="F311" s="73"/>
    </row>
    <row r="312" ht="15.75" customHeight="1">
      <c r="E312" s="72"/>
      <c r="F312" s="73"/>
    </row>
    <row r="313" ht="15.75" customHeight="1">
      <c r="E313" s="72"/>
      <c r="F313" s="73"/>
    </row>
    <row r="314" ht="15.75" customHeight="1">
      <c r="E314" s="72"/>
      <c r="F314" s="73"/>
    </row>
    <row r="315" ht="15.75" customHeight="1">
      <c r="E315" s="72"/>
      <c r="F315" s="73"/>
    </row>
    <row r="316" ht="15.75" customHeight="1">
      <c r="E316" s="72"/>
      <c r="F316" s="73"/>
    </row>
    <row r="317" ht="15.75" customHeight="1">
      <c r="E317" s="72"/>
      <c r="F317" s="73"/>
    </row>
    <row r="318" ht="15.75" customHeight="1">
      <c r="E318" s="72"/>
      <c r="F318" s="73"/>
    </row>
    <row r="319" ht="15.75" customHeight="1">
      <c r="E319" s="72"/>
      <c r="F319" s="73"/>
    </row>
    <row r="320" ht="15.75" customHeight="1">
      <c r="E320" s="72"/>
      <c r="F320" s="73"/>
    </row>
    <row r="321" ht="15.75" customHeight="1">
      <c r="E321" s="72"/>
      <c r="F321" s="73"/>
    </row>
    <row r="322" ht="15.75" customHeight="1">
      <c r="E322" s="72"/>
      <c r="F322" s="73"/>
    </row>
    <row r="323" ht="15.75" customHeight="1">
      <c r="E323" s="72"/>
      <c r="F323" s="73"/>
    </row>
    <row r="324" ht="15.75" customHeight="1">
      <c r="E324" s="72"/>
      <c r="F324" s="73"/>
    </row>
    <row r="325" ht="15.75" customHeight="1">
      <c r="E325" s="72"/>
      <c r="F325" s="73"/>
    </row>
    <row r="326" ht="15.75" customHeight="1">
      <c r="E326" s="72"/>
      <c r="F326" s="73"/>
    </row>
    <row r="327" ht="15.75" customHeight="1">
      <c r="E327" s="72"/>
      <c r="F327" s="73"/>
    </row>
    <row r="328" ht="15.75" customHeight="1">
      <c r="E328" s="72"/>
      <c r="F328" s="73"/>
    </row>
    <row r="329" ht="15.75" customHeight="1">
      <c r="E329" s="72"/>
      <c r="F329" s="73"/>
    </row>
    <row r="330" ht="15.75" customHeight="1">
      <c r="E330" s="72"/>
      <c r="F330" s="73"/>
    </row>
    <row r="331" ht="15.75" customHeight="1">
      <c r="E331" s="72"/>
      <c r="F331" s="73"/>
    </row>
    <row r="332" ht="15.75" customHeight="1">
      <c r="E332" s="72"/>
      <c r="F332" s="73"/>
    </row>
    <row r="333" ht="15.75" customHeight="1">
      <c r="E333" s="72"/>
      <c r="F333" s="73"/>
    </row>
    <row r="334" ht="15.75" customHeight="1">
      <c r="E334" s="72"/>
      <c r="F334" s="73"/>
    </row>
    <row r="335" ht="15.75" customHeight="1">
      <c r="E335" s="72"/>
      <c r="F335" s="73"/>
    </row>
    <row r="336" ht="15.75" customHeight="1">
      <c r="E336" s="72"/>
      <c r="F336" s="73"/>
    </row>
    <row r="337" ht="15.75" customHeight="1">
      <c r="E337" s="72"/>
      <c r="F337" s="73"/>
    </row>
    <row r="338" ht="15.75" customHeight="1">
      <c r="E338" s="72"/>
      <c r="F338" s="73"/>
    </row>
    <row r="339" ht="15.75" customHeight="1">
      <c r="E339" s="72"/>
      <c r="F339" s="73"/>
    </row>
    <row r="340" ht="15.75" customHeight="1">
      <c r="E340" s="72"/>
      <c r="F340" s="73"/>
    </row>
    <row r="341" ht="15.75" customHeight="1">
      <c r="E341" s="72"/>
      <c r="F341" s="73"/>
    </row>
    <row r="342" ht="15.75" customHeight="1">
      <c r="E342" s="72"/>
      <c r="F342" s="73"/>
    </row>
    <row r="343" ht="15.75" customHeight="1">
      <c r="E343" s="72"/>
      <c r="F343" s="73"/>
    </row>
    <row r="344" ht="15.75" customHeight="1">
      <c r="E344" s="72"/>
      <c r="F344" s="73"/>
    </row>
    <row r="345" ht="15.75" customHeight="1">
      <c r="E345" s="72"/>
      <c r="F345" s="73"/>
    </row>
    <row r="346" ht="15.75" customHeight="1">
      <c r="E346" s="72"/>
      <c r="F346" s="73"/>
    </row>
    <row r="347" ht="15.75" customHeight="1">
      <c r="E347" s="72"/>
      <c r="F347" s="73"/>
    </row>
    <row r="348" ht="15.75" customHeight="1">
      <c r="E348" s="72"/>
      <c r="F348" s="73"/>
    </row>
    <row r="349" ht="15.75" customHeight="1">
      <c r="E349" s="72"/>
      <c r="F349" s="73"/>
    </row>
    <row r="350" ht="15.75" customHeight="1">
      <c r="E350" s="72"/>
      <c r="F350" s="73"/>
    </row>
    <row r="351" ht="15.75" customHeight="1">
      <c r="E351" s="72"/>
      <c r="F351" s="73"/>
    </row>
    <row r="352" ht="15.75" customHeight="1">
      <c r="E352" s="72"/>
      <c r="F352" s="73"/>
    </row>
    <row r="353" ht="15.75" customHeight="1">
      <c r="E353" s="72"/>
      <c r="F353" s="73"/>
    </row>
    <row r="354" ht="15.75" customHeight="1">
      <c r="E354" s="72"/>
      <c r="F354" s="73"/>
    </row>
    <row r="355" ht="15.75" customHeight="1">
      <c r="E355" s="72"/>
      <c r="F355" s="73"/>
    </row>
    <row r="356" ht="15.75" customHeight="1">
      <c r="E356" s="72"/>
      <c r="F356" s="73"/>
    </row>
    <row r="357" ht="15.75" customHeight="1">
      <c r="E357" s="72"/>
      <c r="F357" s="73"/>
    </row>
    <row r="358" ht="15.75" customHeight="1">
      <c r="E358" s="72"/>
      <c r="F358" s="73"/>
    </row>
    <row r="359" ht="15.75" customHeight="1">
      <c r="E359" s="72"/>
      <c r="F359" s="73"/>
    </row>
    <row r="360" ht="15.75" customHeight="1">
      <c r="E360" s="72"/>
      <c r="F360" s="73"/>
    </row>
    <row r="361" ht="15.75" customHeight="1">
      <c r="E361" s="72"/>
      <c r="F361" s="73"/>
    </row>
    <row r="362" ht="15.75" customHeight="1">
      <c r="E362" s="72"/>
      <c r="F362" s="73"/>
    </row>
    <row r="363" ht="15.75" customHeight="1">
      <c r="E363" s="72"/>
      <c r="F363" s="73"/>
    </row>
    <row r="364" ht="15.75" customHeight="1">
      <c r="E364" s="72"/>
      <c r="F364" s="73"/>
    </row>
    <row r="365" ht="15.75" customHeight="1">
      <c r="E365" s="72"/>
      <c r="F365" s="73"/>
    </row>
    <row r="366" ht="15.75" customHeight="1">
      <c r="E366" s="72"/>
      <c r="F366" s="73"/>
    </row>
    <row r="367" ht="15.75" customHeight="1">
      <c r="E367" s="72"/>
      <c r="F367" s="73"/>
    </row>
    <row r="368" ht="15.75" customHeight="1">
      <c r="E368" s="72"/>
      <c r="F368" s="73"/>
    </row>
    <row r="369" ht="15.75" customHeight="1">
      <c r="E369" s="72"/>
      <c r="F369" s="73"/>
    </row>
    <row r="370" ht="15.75" customHeight="1">
      <c r="E370" s="72"/>
      <c r="F370" s="73"/>
    </row>
    <row r="371" ht="15.75" customHeight="1">
      <c r="E371" s="72"/>
      <c r="F371" s="73"/>
    </row>
    <row r="372" ht="15.75" customHeight="1">
      <c r="E372" s="72"/>
      <c r="F372" s="73"/>
    </row>
    <row r="373" ht="15.75" customHeight="1">
      <c r="E373" s="72"/>
      <c r="F373" s="73"/>
    </row>
    <row r="374" ht="15.75" customHeight="1">
      <c r="E374" s="72"/>
      <c r="F374" s="73"/>
    </row>
    <row r="375" ht="15.75" customHeight="1">
      <c r="E375" s="72"/>
      <c r="F375" s="73"/>
    </row>
    <row r="376" ht="15.75" customHeight="1">
      <c r="E376" s="72"/>
      <c r="F376" s="73"/>
    </row>
    <row r="377" ht="15.75" customHeight="1">
      <c r="E377" s="72"/>
      <c r="F377" s="73"/>
    </row>
    <row r="378" ht="15.75" customHeight="1">
      <c r="E378" s="72"/>
      <c r="F378" s="73"/>
    </row>
    <row r="379" ht="15.75" customHeight="1">
      <c r="E379" s="72"/>
      <c r="F379" s="73"/>
    </row>
    <row r="380" ht="15.75" customHeight="1">
      <c r="E380" s="72"/>
      <c r="F380" s="73"/>
    </row>
    <row r="381" ht="15.75" customHeight="1">
      <c r="E381" s="72"/>
      <c r="F381" s="73"/>
    </row>
    <row r="382" ht="15.75" customHeight="1">
      <c r="E382" s="72"/>
      <c r="F382" s="73"/>
    </row>
    <row r="383" ht="15.75" customHeight="1">
      <c r="E383" s="72"/>
      <c r="F383" s="73"/>
    </row>
    <row r="384" ht="15.75" customHeight="1">
      <c r="E384" s="72"/>
      <c r="F384" s="73"/>
    </row>
    <row r="385" ht="15.75" customHeight="1">
      <c r="E385" s="72"/>
      <c r="F385" s="73"/>
    </row>
    <row r="386" ht="15.75" customHeight="1">
      <c r="E386" s="72"/>
      <c r="F386" s="73"/>
    </row>
    <row r="387" ht="15.75" customHeight="1">
      <c r="E387" s="72"/>
      <c r="F387" s="73"/>
    </row>
    <row r="388" ht="15.75" customHeight="1">
      <c r="E388" s="72"/>
      <c r="F388" s="73"/>
    </row>
    <row r="389" ht="15.75" customHeight="1">
      <c r="E389" s="72"/>
      <c r="F389" s="73"/>
    </row>
    <row r="390" ht="15.75" customHeight="1">
      <c r="E390" s="72"/>
      <c r="F390" s="73"/>
    </row>
    <row r="391" ht="15.75" customHeight="1">
      <c r="E391" s="72"/>
      <c r="F391" s="73"/>
    </row>
    <row r="392" ht="15.75" customHeight="1">
      <c r="E392" s="72"/>
      <c r="F392" s="73"/>
    </row>
    <row r="393" ht="15.75" customHeight="1">
      <c r="E393" s="72"/>
      <c r="F393" s="73"/>
    </row>
    <row r="394" ht="15.75" customHeight="1">
      <c r="E394" s="72"/>
      <c r="F394" s="73"/>
    </row>
    <row r="395" ht="15.75" customHeight="1">
      <c r="E395" s="72"/>
      <c r="F395" s="73"/>
    </row>
    <row r="396" ht="15.75" customHeight="1">
      <c r="E396" s="72"/>
      <c r="F396" s="73"/>
    </row>
    <row r="397" ht="15.75" customHeight="1">
      <c r="E397" s="72"/>
      <c r="F397" s="73"/>
    </row>
    <row r="398" ht="15.75" customHeight="1">
      <c r="E398" s="72"/>
      <c r="F398" s="73"/>
    </row>
    <row r="399" ht="15.75" customHeight="1">
      <c r="E399" s="72"/>
      <c r="F399" s="73"/>
    </row>
    <row r="400" ht="15.75" customHeight="1">
      <c r="E400" s="72"/>
      <c r="F400" s="73"/>
    </row>
    <row r="401" ht="15.75" customHeight="1">
      <c r="E401" s="72"/>
      <c r="F401" s="73"/>
    </row>
    <row r="402" ht="15.75" customHeight="1">
      <c r="E402" s="72"/>
      <c r="F402" s="73"/>
    </row>
    <row r="403" ht="15.75" customHeight="1">
      <c r="E403" s="72"/>
      <c r="F403" s="73"/>
    </row>
    <row r="404" ht="15.75" customHeight="1">
      <c r="E404" s="72"/>
      <c r="F404" s="73"/>
    </row>
    <row r="405" ht="15.75" customHeight="1">
      <c r="E405" s="72"/>
      <c r="F405" s="73"/>
    </row>
    <row r="406" ht="15.75" customHeight="1">
      <c r="E406" s="72"/>
      <c r="F406" s="73"/>
    </row>
    <row r="407" ht="15.75" customHeight="1">
      <c r="E407" s="72"/>
      <c r="F407" s="73"/>
    </row>
    <row r="408" ht="15.75" customHeight="1">
      <c r="E408" s="72"/>
      <c r="F408" s="73"/>
    </row>
    <row r="409" ht="15.75" customHeight="1">
      <c r="E409" s="72"/>
      <c r="F409" s="73"/>
    </row>
    <row r="410" ht="15.75" customHeight="1">
      <c r="E410" s="72"/>
      <c r="F410" s="73"/>
    </row>
    <row r="411" ht="15.75" customHeight="1">
      <c r="E411" s="72"/>
      <c r="F411" s="73"/>
    </row>
    <row r="412" ht="15.75" customHeight="1">
      <c r="E412" s="72"/>
      <c r="F412" s="73"/>
    </row>
    <row r="413" ht="15.75" customHeight="1">
      <c r="E413" s="72"/>
      <c r="F413" s="73"/>
    </row>
    <row r="414" ht="15.75" customHeight="1">
      <c r="E414" s="72"/>
      <c r="F414" s="73"/>
    </row>
    <row r="415" ht="15.75" customHeight="1">
      <c r="E415" s="72"/>
      <c r="F415" s="73"/>
    </row>
    <row r="416" ht="15.75" customHeight="1">
      <c r="E416" s="72"/>
      <c r="F416" s="73"/>
    </row>
    <row r="417" ht="15.75" customHeight="1">
      <c r="E417" s="72"/>
      <c r="F417" s="73"/>
    </row>
    <row r="418" ht="15.75" customHeight="1">
      <c r="E418" s="72"/>
      <c r="F418" s="73"/>
    </row>
    <row r="419" ht="15.75" customHeight="1">
      <c r="E419" s="72"/>
      <c r="F419" s="73"/>
    </row>
    <row r="420" ht="15.75" customHeight="1">
      <c r="E420" s="72"/>
      <c r="F420" s="73"/>
    </row>
    <row r="421" ht="15.75" customHeight="1">
      <c r="E421" s="72"/>
      <c r="F421" s="73"/>
    </row>
    <row r="422" ht="15.75" customHeight="1">
      <c r="E422" s="72"/>
      <c r="F422" s="73"/>
    </row>
    <row r="423" ht="15.75" customHeight="1">
      <c r="E423" s="72"/>
      <c r="F423" s="73"/>
    </row>
    <row r="424" ht="15.75" customHeight="1">
      <c r="E424" s="72"/>
      <c r="F424" s="73"/>
    </row>
    <row r="425" ht="15.75" customHeight="1">
      <c r="E425" s="72"/>
      <c r="F425" s="73"/>
    </row>
    <row r="426" ht="15.75" customHeight="1">
      <c r="E426" s="72"/>
      <c r="F426" s="73"/>
    </row>
    <row r="427" ht="15.75" customHeight="1">
      <c r="E427" s="72"/>
      <c r="F427" s="73"/>
    </row>
    <row r="428" ht="15.75" customHeight="1">
      <c r="E428" s="72"/>
      <c r="F428" s="73"/>
    </row>
    <row r="429" ht="15.75" customHeight="1">
      <c r="E429" s="72"/>
      <c r="F429" s="73"/>
    </row>
    <row r="430" ht="15.75" customHeight="1">
      <c r="E430" s="72"/>
      <c r="F430" s="73"/>
    </row>
    <row r="431" ht="15.75" customHeight="1">
      <c r="E431" s="72"/>
      <c r="F431" s="73"/>
    </row>
    <row r="432" ht="15.75" customHeight="1">
      <c r="E432" s="72"/>
      <c r="F432" s="73"/>
    </row>
    <row r="433" ht="15.75" customHeight="1">
      <c r="E433" s="72"/>
      <c r="F433" s="73"/>
    </row>
    <row r="434" ht="15.75" customHeight="1">
      <c r="E434" s="72"/>
      <c r="F434" s="73"/>
    </row>
    <row r="435" ht="15.75" customHeight="1">
      <c r="E435" s="72"/>
      <c r="F435" s="73"/>
    </row>
    <row r="436" ht="15.75" customHeight="1">
      <c r="E436" s="72"/>
      <c r="F436" s="73"/>
    </row>
    <row r="437" ht="15.75" customHeight="1">
      <c r="E437" s="72"/>
      <c r="F437" s="73"/>
    </row>
    <row r="438" ht="15.75" customHeight="1">
      <c r="E438" s="72"/>
      <c r="F438" s="73"/>
    </row>
    <row r="439" ht="15.75" customHeight="1">
      <c r="E439" s="72"/>
      <c r="F439" s="73"/>
    </row>
    <row r="440" ht="15.75" customHeight="1">
      <c r="E440" s="72"/>
      <c r="F440" s="73"/>
    </row>
    <row r="441" ht="15.75" customHeight="1">
      <c r="E441" s="72"/>
      <c r="F441" s="73"/>
    </row>
    <row r="442" ht="15.75" customHeight="1">
      <c r="E442" s="72"/>
      <c r="F442" s="73"/>
    </row>
    <row r="443" ht="15.75" customHeight="1">
      <c r="E443" s="72"/>
      <c r="F443" s="73"/>
    </row>
    <row r="444" ht="15.75" customHeight="1">
      <c r="E444" s="72"/>
      <c r="F444" s="73"/>
    </row>
    <row r="445" ht="15.75" customHeight="1">
      <c r="E445" s="72"/>
      <c r="F445" s="73"/>
    </row>
    <row r="446" ht="15.75" customHeight="1">
      <c r="E446" s="72"/>
      <c r="F446" s="73"/>
    </row>
    <row r="447" ht="15.75" customHeight="1">
      <c r="E447" s="72"/>
      <c r="F447" s="73"/>
    </row>
    <row r="448" ht="15.75" customHeight="1">
      <c r="E448" s="72"/>
      <c r="F448" s="73"/>
    </row>
    <row r="449" ht="15.75" customHeight="1">
      <c r="E449" s="72"/>
      <c r="F449" s="73"/>
    </row>
    <row r="450" ht="15.75" customHeight="1">
      <c r="E450" s="72"/>
      <c r="F450" s="73"/>
    </row>
    <row r="451" ht="15.75" customHeight="1">
      <c r="E451" s="72"/>
      <c r="F451" s="73"/>
    </row>
    <row r="452" ht="15.75" customHeight="1">
      <c r="E452" s="72"/>
      <c r="F452" s="73"/>
    </row>
    <row r="453" ht="15.75" customHeight="1">
      <c r="E453" s="72"/>
      <c r="F453" s="73"/>
    </row>
    <row r="454" ht="15.75" customHeight="1">
      <c r="E454" s="72"/>
      <c r="F454" s="73"/>
    </row>
    <row r="455" ht="15.75" customHeight="1">
      <c r="E455" s="72"/>
      <c r="F455" s="73"/>
    </row>
    <row r="456" ht="15.75" customHeight="1">
      <c r="E456" s="72"/>
      <c r="F456" s="73"/>
    </row>
    <row r="457" ht="15.75" customHeight="1">
      <c r="E457" s="72"/>
      <c r="F457" s="73"/>
    </row>
    <row r="458" ht="15.75" customHeight="1">
      <c r="E458" s="72"/>
      <c r="F458" s="73"/>
    </row>
    <row r="459" ht="15.75" customHeight="1">
      <c r="E459" s="72"/>
      <c r="F459" s="73"/>
    </row>
    <row r="460" ht="15.75" customHeight="1">
      <c r="E460" s="72"/>
      <c r="F460" s="73"/>
    </row>
    <row r="461" ht="15.75" customHeight="1">
      <c r="E461" s="72"/>
      <c r="F461" s="73"/>
    </row>
    <row r="462" ht="15.75" customHeight="1">
      <c r="E462" s="72"/>
      <c r="F462" s="73"/>
    </row>
    <row r="463" ht="15.75" customHeight="1">
      <c r="E463" s="72"/>
      <c r="F463" s="73"/>
    </row>
    <row r="464" ht="15.75" customHeight="1">
      <c r="E464" s="72"/>
      <c r="F464" s="73"/>
    </row>
    <row r="465" ht="15.75" customHeight="1">
      <c r="E465" s="72"/>
      <c r="F465" s="73"/>
    </row>
    <row r="466" ht="15.75" customHeight="1">
      <c r="E466" s="72"/>
      <c r="F466" s="73"/>
    </row>
    <row r="467" ht="15.75" customHeight="1">
      <c r="E467" s="72"/>
      <c r="F467" s="73"/>
    </row>
    <row r="468" ht="15.75" customHeight="1">
      <c r="E468" s="72"/>
      <c r="F468" s="73"/>
    </row>
    <row r="469" ht="15.75" customHeight="1">
      <c r="E469" s="72"/>
      <c r="F469" s="73"/>
    </row>
    <row r="470" ht="15.75" customHeight="1">
      <c r="E470" s="72"/>
      <c r="F470" s="73"/>
    </row>
    <row r="471" ht="15.75" customHeight="1">
      <c r="E471" s="72"/>
      <c r="F471" s="73"/>
    </row>
    <row r="472" ht="15.75" customHeight="1">
      <c r="E472" s="72"/>
      <c r="F472" s="73"/>
    </row>
    <row r="473" ht="15.75" customHeight="1">
      <c r="E473" s="72"/>
      <c r="F473" s="73"/>
    </row>
    <row r="474" ht="15.75" customHeight="1">
      <c r="E474" s="72"/>
      <c r="F474" s="73"/>
    </row>
    <row r="475" ht="15.75" customHeight="1">
      <c r="E475" s="72"/>
      <c r="F475" s="73"/>
    </row>
    <row r="476" ht="15.75" customHeight="1">
      <c r="E476" s="72"/>
      <c r="F476" s="73"/>
    </row>
    <row r="477" ht="15.75" customHeight="1">
      <c r="E477" s="72"/>
      <c r="F477" s="73"/>
    </row>
    <row r="478" ht="15.75" customHeight="1">
      <c r="E478" s="72"/>
      <c r="F478" s="73"/>
    </row>
    <row r="479" ht="15.75" customHeight="1">
      <c r="E479" s="72"/>
      <c r="F479" s="73"/>
    </row>
    <row r="480" ht="15.75" customHeight="1">
      <c r="E480" s="72"/>
      <c r="F480" s="73"/>
    </row>
    <row r="481" ht="15.75" customHeight="1">
      <c r="E481" s="72"/>
      <c r="F481" s="73"/>
    </row>
    <row r="482" ht="15.75" customHeight="1">
      <c r="E482" s="72"/>
      <c r="F482" s="73"/>
    </row>
    <row r="483" ht="15.75" customHeight="1">
      <c r="E483" s="72"/>
      <c r="F483" s="73"/>
    </row>
    <row r="484" ht="15.75" customHeight="1">
      <c r="E484" s="72"/>
      <c r="F484" s="73"/>
    </row>
    <row r="485" ht="15.75" customHeight="1">
      <c r="E485" s="72"/>
      <c r="F485" s="73"/>
    </row>
    <row r="486" ht="15.75" customHeight="1">
      <c r="E486" s="72"/>
      <c r="F486" s="73"/>
    </row>
    <row r="487" ht="15.75" customHeight="1">
      <c r="E487" s="72"/>
      <c r="F487" s="73"/>
    </row>
    <row r="488" ht="15.75" customHeight="1">
      <c r="E488" s="72"/>
      <c r="F488" s="73"/>
    </row>
    <row r="489" ht="15.75" customHeight="1">
      <c r="E489" s="72"/>
      <c r="F489" s="73"/>
    </row>
    <row r="490" ht="15.75" customHeight="1">
      <c r="E490" s="72"/>
      <c r="F490" s="73"/>
    </row>
    <row r="491" ht="15.75" customHeight="1">
      <c r="E491" s="72"/>
      <c r="F491" s="73"/>
    </row>
    <row r="492" ht="15.75" customHeight="1">
      <c r="E492" s="72"/>
      <c r="F492" s="73"/>
    </row>
    <row r="493" ht="15.75" customHeight="1">
      <c r="E493" s="72"/>
      <c r="F493" s="73"/>
    </row>
    <row r="494" ht="15.75" customHeight="1">
      <c r="E494" s="72"/>
      <c r="F494" s="73"/>
    </row>
    <row r="495" ht="15.75" customHeight="1">
      <c r="E495" s="72"/>
      <c r="F495" s="73"/>
    </row>
    <row r="496" ht="15.75" customHeight="1">
      <c r="E496" s="72"/>
      <c r="F496" s="73"/>
    </row>
    <row r="497" ht="15.75" customHeight="1">
      <c r="E497" s="72"/>
      <c r="F497" s="73"/>
    </row>
    <row r="498" ht="15.75" customHeight="1">
      <c r="E498" s="72"/>
      <c r="F498" s="73"/>
    </row>
    <row r="499" ht="15.75" customHeight="1">
      <c r="E499" s="72"/>
      <c r="F499" s="73"/>
    </row>
    <row r="500" ht="15.75" customHeight="1">
      <c r="E500" s="72"/>
      <c r="F500" s="73"/>
    </row>
    <row r="501" ht="15.75" customHeight="1">
      <c r="E501" s="72"/>
      <c r="F501" s="73"/>
    </row>
    <row r="502" ht="15.75" customHeight="1">
      <c r="E502" s="72"/>
      <c r="F502" s="73"/>
    </row>
    <row r="503" ht="15.75" customHeight="1">
      <c r="E503" s="72"/>
      <c r="F503" s="73"/>
    </row>
    <row r="504" ht="15.75" customHeight="1">
      <c r="E504" s="72"/>
      <c r="F504" s="73"/>
    </row>
    <row r="505" ht="15.75" customHeight="1">
      <c r="E505" s="72"/>
      <c r="F505" s="73"/>
    </row>
    <row r="506" ht="15.75" customHeight="1">
      <c r="E506" s="72"/>
      <c r="F506" s="73"/>
    </row>
    <row r="507" ht="15.75" customHeight="1">
      <c r="E507" s="72"/>
      <c r="F507" s="73"/>
    </row>
    <row r="508" ht="15.75" customHeight="1">
      <c r="E508" s="72"/>
      <c r="F508" s="73"/>
    </row>
    <row r="509" ht="15.75" customHeight="1">
      <c r="E509" s="72"/>
      <c r="F509" s="73"/>
    </row>
    <row r="510" ht="15.75" customHeight="1">
      <c r="E510" s="72"/>
      <c r="F510" s="73"/>
    </row>
    <row r="511" ht="15.75" customHeight="1">
      <c r="E511" s="72"/>
      <c r="F511" s="73"/>
    </row>
    <row r="512" ht="15.75" customHeight="1">
      <c r="E512" s="72"/>
      <c r="F512" s="73"/>
    </row>
    <row r="513" ht="15.75" customHeight="1">
      <c r="E513" s="72"/>
      <c r="F513" s="73"/>
    </row>
    <row r="514" ht="15.75" customHeight="1">
      <c r="E514" s="72"/>
      <c r="F514" s="73"/>
    </row>
    <row r="515" ht="15.75" customHeight="1">
      <c r="E515" s="72"/>
      <c r="F515" s="73"/>
    </row>
    <row r="516" ht="15.75" customHeight="1">
      <c r="E516" s="72"/>
      <c r="F516" s="73"/>
    </row>
    <row r="517" ht="15.75" customHeight="1">
      <c r="E517" s="72"/>
      <c r="F517" s="73"/>
    </row>
    <row r="518" ht="15.75" customHeight="1">
      <c r="E518" s="72"/>
      <c r="F518" s="73"/>
    </row>
    <row r="519" ht="15.75" customHeight="1">
      <c r="E519" s="72"/>
      <c r="F519" s="73"/>
    </row>
    <row r="520" ht="15.75" customHeight="1">
      <c r="E520" s="72"/>
      <c r="F520" s="73"/>
    </row>
    <row r="521" ht="15.75" customHeight="1">
      <c r="E521" s="72"/>
      <c r="F521" s="73"/>
    </row>
    <row r="522" ht="15.75" customHeight="1">
      <c r="E522" s="72"/>
      <c r="F522" s="73"/>
    </row>
    <row r="523" ht="15.75" customHeight="1">
      <c r="E523" s="72"/>
      <c r="F523" s="73"/>
    </row>
    <row r="524" ht="15.75" customHeight="1">
      <c r="E524" s="72"/>
      <c r="F524" s="73"/>
    </row>
    <row r="525" ht="15.75" customHeight="1">
      <c r="E525" s="72"/>
      <c r="F525" s="73"/>
    </row>
    <row r="526" ht="15.75" customHeight="1">
      <c r="E526" s="72"/>
      <c r="F526" s="73"/>
    </row>
    <row r="527" ht="15.75" customHeight="1">
      <c r="E527" s="72"/>
      <c r="F527" s="73"/>
    </row>
    <row r="528" ht="15.75" customHeight="1">
      <c r="E528" s="72"/>
      <c r="F528" s="73"/>
    </row>
    <row r="529" ht="15.75" customHeight="1">
      <c r="E529" s="72"/>
      <c r="F529" s="73"/>
    </row>
    <row r="530" ht="15.75" customHeight="1">
      <c r="E530" s="72"/>
      <c r="F530" s="73"/>
    </row>
    <row r="531" ht="15.75" customHeight="1">
      <c r="E531" s="72"/>
      <c r="F531" s="73"/>
    </row>
    <row r="532" ht="15.75" customHeight="1">
      <c r="E532" s="72"/>
      <c r="F532" s="73"/>
    </row>
    <row r="533" ht="15.75" customHeight="1">
      <c r="E533" s="72"/>
      <c r="F533" s="73"/>
    </row>
    <row r="534" ht="15.75" customHeight="1">
      <c r="E534" s="72"/>
      <c r="F534" s="73"/>
    </row>
    <row r="535" ht="15.75" customHeight="1">
      <c r="E535" s="72"/>
      <c r="F535" s="73"/>
    </row>
    <row r="536" ht="15.75" customHeight="1">
      <c r="E536" s="72"/>
      <c r="F536" s="73"/>
    </row>
    <row r="537" ht="15.75" customHeight="1">
      <c r="E537" s="72"/>
      <c r="F537" s="73"/>
    </row>
    <row r="538" ht="15.75" customHeight="1">
      <c r="E538" s="72"/>
      <c r="F538" s="73"/>
    </row>
    <row r="539" ht="15.75" customHeight="1">
      <c r="E539" s="72"/>
      <c r="F539" s="73"/>
    </row>
    <row r="540" ht="15.75" customHeight="1">
      <c r="E540" s="72"/>
      <c r="F540" s="73"/>
    </row>
    <row r="541" ht="15.75" customHeight="1">
      <c r="E541" s="72"/>
      <c r="F541" s="73"/>
    </row>
    <row r="542" ht="15.75" customHeight="1">
      <c r="E542" s="72"/>
      <c r="F542" s="73"/>
    </row>
    <row r="543" ht="15.75" customHeight="1">
      <c r="E543" s="72"/>
      <c r="F543" s="73"/>
    </row>
    <row r="544" ht="15.75" customHeight="1">
      <c r="E544" s="72"/>
      <c r="F544" s="73"/>
    </row>
    <row r="545" ht="15.75" customHeight="1">
      <c r="E545" s="72"/>
      <c r="F545" s="73"/>
    </row>
    <row r="546" ht="15.75" customHeight="1">
      <c r="E546" s="72"/>
      <c r="F546" s="73"/>
    </row>
    <row r="547" ht="15.75" customHeight="1">
      <c r="E547" s="72"/>
      <c r="F547" s="73"/>
    </row>
    <row r="548" ht="15.75" customHeight="1">
      <c r="E548" s="72"/>
      <c r="F548" s="73"/>
    </row>
    <row r="549" ht="15.75" customHeight="1">
      <c r="E549" s="72"/>
      <c r="F549" s="73"/>
    </row>
    <row r="550" ht="15.75" customHeight="1">
      <c r="E550" s="72"/>
      <c r="F550" s="73"/>
    </row>
    <row r="551" ht="15.75" customHeight="1">
      <c r="E551" s="72"/>
      <c r="F551" s="73"/>
    </row>
    <row r="552" ht="15.75" customHeight="1">
      <c r="E552" s="72"/>
      <c r="F552" s="73"/>
    </row>
    <row r="553" ht="15.75" customHeight="1">
      <c r="E553" s="72"/>
      <c r="F553" s="73"/>
    </row>
    <row r="554" ht="15.75" customHeight="1">
      <c r="E554" s="72"/>
      <c r="F554" s="73"/>
    </row>
    <row r="555" ht="15.75" customHeight="1">
      <c r="E555" s="72"/>
      <c r="F555" s="73"/>
    </row>
    <row r="556" ht="15.75" customHeight="1">
      <c r="E556" s="72"/>
      <c r="F556" s="73"/>
    </row>
    <row r="557" ht="15.75" customHeight="1">
      <c r="E557" s="72"/>
      <c r="F557" s="73"/>
    </row>
    <row r="558" ht="15.75" customHeight="1">
      <c r="E558" s="72"/>
      <c r="F558" s="73"/>
    </row>
    <row r="559" ht="15.75" customHeight="1">
      <c r="E559" s="72"/>
      <c r="F559" s="73"/>
    </row>
    <row r="560" ht="15.75" customHeight="1">
      <c r="E560" s="72"/>
      <c r="F560" s="73"/>
    </row>
    <row r="561" ht="15.75" customHeight="1">
      <c r="E561" s="72"/>
      <c r="F561" s="73"/>
    </row>
    <row r="562" ht="15.75" customHeight="1">
      <c r="E562" s="72"/>
      <c r="F562" s="73"/>
    </row>
    <row r="563" ht="15.75" customHeight="1">
      <c r="E563" s="72"/>
      <c r="F563" s="73"/>
    </row>
    <row r="564" ht="15.75" customHeight="1">
      <c r="E564" s="72"/>
      <c r="F564" s="73"/>
    </row>
    <row r="565" ht="15.75" customHeight="1">
      <c r="E565" s="72"/>
      <c r="F565" s="73"/>
    </row>
    <row r="566" ht="15.75" customHeight="1">
      <c r="E566" s="72"/>
      <c r="F566" s="73"/>
    </row>
    <row r="567" ht="15.75" customHeight="1">
      <c r="E567" s="72"/>
      <c r="F567" s="73"/>
    </row>
    <row r="568" ht="15.75" customHeight="1">
      <c r="E568" s="72"/>
      <c r="F568" s="73"/>
    </row>
    <row r="569" ht="15.75" customHeight="1">
      <c r="E569" s="72"/>
      <c r="F569" s="73"/>
    </row>
    <row r="570" ht="15.75" customHeight="1">
      <c r="E570" s="72"/>
      <c r="F570" s="73"/>
    </row>
    <row r="571" ht="15.75" customHeight="1">
      <c r="E571" s="72"/>
      <c r="F571" s="73"/>
    </row>
    <row r="572" ht="15.75" customHeight="1">
      <c r="E572" s="72"/>
      <c r="F572" s="73"/>
    </row>
    <row r="573" ht="15.75" customHeight="1">
      <c r="E573" s="72"/>
      <c r="F573" s="73"/>
    </row>
    <row r="574" ht="15.75" customHeight="1">
      <c r="E574" s="72"/>
      <c r="F574" s="73"/>
    </row>
    <row r="575" ht="15.75" customHeight="1">
      <c r="E575" s="72"/>
      <c r="F575" s="73"/>
    </row>
    <row r="576" ht="15.75" customHeight="1">
      <c r="E576" s="72"/>
      <c r="F576" s="73"/>
    </row>
    <row r="577" ht="15.75" customHeight="1">
      <c r="E577" s="72"/>
      <c r="F577" s="73"/>
    </row>
    <row r="578" ht="15.75" customHeight="1">
      <c r="E578" s="72"/>
      <c r="F578" s="73"/>
    </row>
    <row r="579" ht="15.75" customHeight="1">
      <c r="E579" s="72"/>
      <c r="F579" s="73"/>
    </row>
    <row r="580" ht="15.75" customHeight="1">
      <c r="E580" s="72"/>
      <c r="F580" s="73"/>
    </row>
    <row r="581" ht="15.75" customHeight="1">
      <c r="E581" s="72"/>
      <c r="F581" s="73"/>
    </row>
    <row r="582" ht="15.75" customHeight="1">
      <c r="E582" s="72"/>
      <c r="F582" s="73"/>
    </row>
    <row r="583" ht="15.75" customHeight="1">
      <c r="E583" s="72"/>
      <c r="F583" s="73"/>
    </row>
    <row r="584" ht="15.75" customHeight="1">
      <c r="E584" s="72"/>
      <c r="F584" s="73"/>
    </row>
    <row r="585" ht="15.75" customHeight="1">
      <c r="E585" s="72"/>
      <c r="F585" s="73"/>
    </row>
    <row r="586" ht="15.75" customHeight="1">
      <c r="E586" s="72"/>
      <c r="F586" s="73"/>
    </row>
    <row r="587" ht="15.75" customHeight="1">
      <c r="E587" s="72"/>
      <c r="F587" s="73"/>
    </row>
    <row r="588" ht="15.75" customHeight="1">
      <c r="E588" s="72"/>
      <c r="F588" s="73"/>
    </row>
    <row r="589" ht="15.75" customHeight="1">
      <c r="E589" s="72"/>
      <c r="F589" s="73"/>
    </row>
    <row r="590" ht="15.75" customHeight="1">
      <c r="E590" s="72"/>
      <c r="F590" s="73"/>
    </row>
    <row r="591" ht="15.75" customHeight="1">
      <c r="E591" s="72"/>
      <c r="F591" s="73"/>
    </row>
    <row r="592" ht="15.75" customHeight="1">
      <c r="E592" s="72"/>
      <c r="F592" s="73"/>
    </row>
    <row r="593" ht="15.75" customHeight="1">
      <c r="E593" s="72"/>
      <c r="F593" s="73"/>
    </row>
    <row r="594" ht="15.75" customHeight="1">
      <c r="E594" s="72"/>
      <c r="F594" s="73"/>
    </row>
    <row r="595" ht="15.75" customHeight="1">
      <c r="E595" s="72"/>
      <c r="F595" s="73"/>
    </row>
    <row r="596" ht="15.75" customHeight="1">
      <c r="E596" s="72"/>
      <c r="F596" s="73"/>
    </row>
    <row r="597" ht="15.75" customHeight="1">
      <c r="E597" s="72"/>
      <c r="F597" s="73"/>
    </row>
    <row r="598" ht="15.75" customHeight="1">
      <c r="E598" s="72"/>
      <c r="F598" s="73"/>
    </row>
    <row r="599" ht="15.75" customHeight="1">
      <c r="E599" s="72"/>
      <c r="F599" s="73"/>
    </row>
    <row r="600" ht="15.75" customHeight="1">
      <c r="E600" s="72"/>
      <c r="F600" s="73"/>
    </row>
    <row r="601" ht="15.75" customHeight="1">
      <c r="E601" s="72"/>
      <c r="F601" s="73"/>
    </row>
    <row r="602" ht="15.75" customHeight="1">
      <c r="E602" s="72"/>
      <c r="F602" s="73"/>
    </row>
    <row r="603" ht="15.75" customHeight="1">
      <c r="E603" s="72"/>
      <c r="F603" s="73"/>
    </row>
    <row r="604" ht="15.75" customHeight="1">
      <c r="E604" s="72"/>
      <c r="F604" s="73"/>
    </row>
    <row r="605" ht="15.75" customHeight="1">
      <c r="E605" s="72"/>
      <c r="F605" s="73"/>
    </row>
    <row r="606" ht="15.75" customHeight="1">
      <c r="E606" s="72"/>
      <c r="F606" s="73"/>
    </row>
    <row r="607" ht="15.75" customHeight="1">
      <c r="E607" s="72"/>
      <c r="F607" s="73"/>
    </row>
    <row r="608" ht="15.75" customHeight="1">
      <c r="E608" s="72"/>
      <c r="F608" s="73"/>
    </row>
    <row r="609" ht="15.75" customHeight="1">
      <c r="E609" s="72"/>
      <c r="F609" s="73"/>
    </row>
    <row r="610" ht="15.75" customHeight="1">
      <c r="E610" s="72"/>
      <c r="F610" s="73"/>
    </row>
    <row r="611" ht="15.75" customHeight="1">
      <c r="E611" s="72"/>
      <c r="F611" s="73"/>
    </row>
    <row r="612" ht="15.75" customHeight="1">
      <c r="E612" s="72"/>
      <c r="F612" s="73"/>
    </row>
    <row r="613" ht="15.75" customHeight="1">
      <c r="E613" s="72"/>
      <c r="F613" s="73"/>
    </row>
    <row r="614" ht="15.75" customHeight="1">
      <c r="E614" s="72"/>
      <c r="F614" s="73"/>
    </row>
    <row r="615" ht="15.75" customHeight="1">
      <c r="E615" s="72"/>
      <c r="F615" s="73"/>
    </row>
    <row r="616" ht="15.75" customHeight="1">
      <c r="E616" s="72"/>
      <c r="F616" s="73"/>
    </row>
    <row r="617" ht="15.75" customHeight="1">
      <c r="E617" s="72"/>
      <c r="F617" s="73"/>
    </row>
    <row r="618" ht="15.75" customHeight="1">
      <c r="E618" s="72"/>
      <c r="F618" s="73"/>
    </row>
    <row r="619" ht="15.75" customHeight="1">
      <c r="E619" s="72"/>
      <c r="F619" s="73"/>
    </row>
    <row r="620" ht="15.75" customHeight="1">
      <c r="E620" s="72"/>
      <c r="F620" s="73"/>
    </row>
    <row r="621" ht="15.75" customHeight="1">
      <c r="E621" s="72"/>
      <c r="F621" s="73"/>
    </row>
    <row r="622" ht="15.75" customHeight="1">
      <c r="E622" s="72"/>
      <c r="F622" s="73"/>
    </row>
    <row r="623" ht="15.75" customHeight="1">
      <c r="E623" s="72"/>
      <c r="F623" s="73"/>
    </row>
    <row r="624" ht="15.75" customHeight="1">
      <c r="E624" s="72"/>
      <c r="F624" s="73"/>
    </row>
    <row r="625" ht="15.75" customHeight="1">
      <c r="E625" s="72"/>
      <c r="F625" s="73"/>
    </row>
    <row r="626" ht="15.75" customHeight="1">
      <c r="E626" s="72"/>
      <c r="F626" s="73"/>
    </row>
    <row r="627" ht="15.75" customHeight="1">
      <c r="E627" s="72"/>
      <c r="F627" s="73"/>
    </row>
    <row r="628" ht="15.75" customHeight="1">
      <c r="E628" s="72"/>
      <c r="F628" s="73"/>
    </row>
    <row r="629" ht="15.75" customHeight="1">
      <c r="E629" s="72"/>
      <c r="F629" s="73"/>
    </row>
    <row r="630" ht="15.75" customHeight="1">
      <c r="E630" s="72"/>
      <c r="F630" s="73"/>
    </row>
    <row r="631" ht="15.75" customHeight="1">
      <c r="E631" s="72"/>
      <c r="F631" s="73"/>
    </row>
    <row r="632" ht="15.75" customHeight="1">
      <c r="E632" s="72"/>
      <c r="F632" s="73"/>
    </row>
    <row r="633" ht="15.75" customHeight="1">
      <c r="E633" s="72"/>
      <c r="F633" s="73"/>
    </row>
    <row r="634" ht="15.75" customHeight="1">
      <c r="E634" s="72"/>
      <c r="F634" s="73"/>
    </row>
    <row r="635" ht="15.75" customHeight="1">
      <c r="E635" s="72"/>
      <c r="F635" s="73"/>
    </row>
    <row r="636" ht="15.75" customHeight="1">
      <c r="E636" s="72"/>
      <c r="F636" s="73"/>
    </row>
    <row r="637" ht="15.75" customHeight="1">
      <c r="E637" s="72"/>
      <c r="F637" s="73"/>
    </row>
    <row r="638" ht="15.75" customHeight="1">
      <c r="E638" s="72"/>
      <c r="F638" s="73"/>
    </row>
    <row r="639" ht="15.75" customHeight="1">
      <c r="E639" s="72"/>
      <c r="F639" s="73"/>
    </row>
    <row r="640" ht="15.75" customHeight="1">
      <c r="E640" s="72"/>
      <c r="F640" s="73"/>
    </row>
    <row r="641" ht="15.75" customHeight="1">
      <c r="E641" s="72"/>
      <c r="F641" s="73"/>
    </row>
    <row r="642" ht="15.75" customHeight="1">
      <c r="E642" s="72"/>
      <c r="F642" s="73"/>
    </row>
    <row r="643" ht="15.75" customHeight="1">
      <c r="E643" s="72"/>
      <c r="F643" s="73"/>
    </row>
    <row r="644" ht="15.75" customHeight="1">
      <c r="E644" s="72"/>
      <c r="F644" s="73"/>
    </row>
    <row r="645" ht="15.75" customHeight="1">
      <c r="E645" s="72"/>
      <c r="F645" s="73"/>
    </row>
    <row r="646" ht="15.75" customHeight="1">
      <c r="E646" s="72"/>
      <c r="F646" s="73"/>
    </row>
    <row r="647" ht="15.75" customHeight="1">
      <c r="E647" s="72"/>
      <c r="F647" s="73"/>
    </row>
    <row r="648" ht="15.75" customHeight="1">
      <c r="E648" s="72"/>
      <c r="F648" s="73"/>
    </row>
    <row r="649" ht="15.75" customHeight="1">
      <c r="E649" s="72"/>
      <c r="F649" s="73"/>
    </row>
    <row r="650" ht="15.75" customHeight="1">
      <c r="E650" s="72"/>
      <c r="F650" s="73"/>
    </row>
    <row r="651" ht="15.75" customHeight="1">
      <c r="E651" s="72"/>
      <c r="F651" s="73"/>
    </row>
    <row r="652" ht="15.75" customHeight="1">
      <c r="E652" s="72"/>
      <c r="F652" s="73"/>
    </row>
    <row r="653" ht="15.75" customHeight="1">
      <c r="E653" s="72"/>
      <c r="F653" s="73"/>
    </row>
    <row r="654" ht="15.75" customHeight="1">
      <c r="E654" s="72"/>
      <c r="F654" s="73"/>
    </row>
    <row r="655" ht="15.75" customHeight="1">
      <c r="E655" s="72"/>
      <c r="F655" s="73"/>
    </row>
    <row r="656" ht="15.75" customHeight="1">
      <c r="E656" s="72"/>
      <c r="F656" s="73"/>
    </row>
    <row r="657" ht="15.75" customHeight="1">
      <c r="E657" s="72"/>
      <c r="F657" s="73"/>
    </row>
    <row r="658" ht="15.75" customHeight="1">
      <c r="E658" s="72"/>
      <c r="F658" s="73"/>
    </row>
    <row r="659" ht="15.75" customHeight="1">
      <c r="E659" s="72"/>
      <c r="F659" s="73"/>
    </row>
    <row r="660" ht="15.75" customHeight="1">
      <c r="E660" s="72"/>
      <c r="F660" s="73"/>
    </row>
    <row r="661" ht="15.75" customHeight="1">
      <c r="E661" s="72"/>
      <c r="F661" s="73"/>
    </row>
    <row r="662" ht="15.75" customHeight="1">
      <c r="E662" s="72"/>
      <c r="F662" s="73"/>
    </row>
    <row r="663" ht="15.75" customHeight="1">
      <c r="E663" s="72"/>
      <c r="F663" s="73"/>
    </row>
    <row r="664" ht="15.75" customHeight="1">
      <c r="E664" s="72"/>
      <c r="F664" s="73"/>
    </row>
    <row r="665" ht="15.75" customHeight="1">
      <c r="E665" s="72"/>
      <c r="F665" s="73"/>
    </row>
    <row r="666" ht="15.75" customHeight="1">
      <c r="E666" s="72"/>
      <c r="F666" s="73"/>
    </row>
    <row r="667" ht="15.75" customHeight="1">
      <c r="E667" s="72"/>
      <c r="F667" s="73"/>
    </row>
    <row r="668" ht="15.75" customHeight="1">
      <c r="E668" s="72"/>
      <c r="F668" s="73"/>
    </row>
    <row r="669" ht="15.75" customHeight="1">
      <c r="E669" s="72"/>
      <c r="F669" s="73"/>
    </row>
    <row r="670" ht="15.75" customHeight="1">
      <c r="E670" s="72"/>
      <c r="F670" s="73"/>
    </row>
    <row r="671" ht="15.75" customHeight="1">
      <c r="E671" s="72"/>
      <c r="F671" s="73"/>
    </row>
    <row r="672" ht="15.75" customHeight="1">
      <c r="E672" s="72"/>
      <c r="F672" s="73"/>
    </row>
    <row r="673" ht="15.75" customHeight="1">
      <c r="E673" s="72"/>
      <c r="F673" s="73"/>
    </row>
    <row r="674" ht="15.75" customHeight="1">
      <c r="E674" s="72"/>
      <c r="F674" s="73"/>
    </row>
    <row r="675" ht="15.75" customHeight="1">
      <c r="E675" s="72"/>
      <c r="F675" s="73"/>
    </row>
    <row r="676" ht="15.75" customHeight="1">
      <c r="E676" s="72"/>
      <c r="F676" s="73"/>
    </row>
    <row r="677" ht="15.75" customHeight="1">
      <c r="E677" s="72"/>
      <c r="F677" s="73"/>
    </row>
    <row r="678" ht="15.75" customHeight="1">
      <c r="E678" s="72"/>
      <c r="F678" s="73"/>
    </row>
    <row r="679" ht="15.75" customHeight="1">
      <c r="E679" s="72"/>
      <c r="F679" s="73"/>
    </row>
    <row r="680" ht="15.75" customHeight="1">
      <c r="E680" s="72"/>
      <c r="F680" s="73"/>
    </row>
    <row r="681" ht="15.75" customHeight="1">
      <c r="E681" s="72"/>
      <c r="F681" s="73"/>
    </row>
    <row r="682" ht="15.75" customHeight="1">
      <c r="E682" s="72"/>
      <c r="F682" s="73"/>
    </row>
    <row r="683" ht="15.75" customHeight="1">
      <c r="E683" s="72"/>
      <c r="F683" s="73"/>
    </row>
    <row r="684" ht="15.75" customHeight="1">
      <c r="E684" s="72"/>
      <c r="F684" s="73"/>
    </row>
    <row r="685" ht="15.75" customHeight="1">
      <c r="E685" s="72"/>
      <c r="F685" s="73"/>
    </row>
    <row r="686" ht="15.75" customHeight="1">
      <c r="E686" s="72"/>
      <c r="F686" s="73"/>
    </row>
    <row r="687" ht="15.75" customHeight="1">
      <c r="E687" s="72"/>
      <c r="F687" s="73"/>
    </row>
    <row r="688" ht="15.75" customHeight="1">
      <c r="E688" s="72"/>
      <c r="F688" s="73"/>
    </row>
    <row r="689" ht="15.75" customHeight="1">
      <c r="E689" s="72"/>
      <c r="F689" s="73"/>
    </row>
    <row r="690" ht="15.75" customHeight="1">
      <c r="E690" s="72"/>
      <c r="F690" s="73"/>
    </row>
    <row r="691" ht="15.75" customHeight="1">
      <c r="E691" s="72"/>
      <c r="F691" s="73"/>
    </row>
    <row r="692" ht="15.75" customHeight="1">
      <c r="E692" s="72"/>
      <c r="F692" s="73"/>
    </row>
    <row r="693" ht="15.75" customHeight="1">
      <c r="E693" s="72"/>
      <c r="F693" s="73"/>
    </row>
    <row r="694" ht="15.75" customHeight="1">
      <c r="E694" s="72"/>
      <c r="F694" s="73"/>
    </row>
    <row r="695" ht="15.75" customHeight="1">
      <c r="E695" s="72"/>
      <c r="F695" s="73"/>
    </row>
    <row r="696" ht="15.75" customHeight="1">
      <c r="E696" s="72"/>
      <c r="F696" s="73"/>
    </row>
    <row r="697" ht="15.75" customHeight="1">
      <c r="E697" s="72"/>
      <c r="F697" s="73"/>
    </row>
    <row r="698" ht="15.75" customHeight="1">
      <c r="E698" s="72"/>
      <c r="F698" s="73"/>
    </row>
    <row r="699" ht="15.75" customHeight="1">
      <c r="E699" s="72"/>
      <c r="F699" s="73"/>
    </row>
    <row r="700" ht="15.75" customHeight="1">
      <c r="E700" s="72"/>
      <c r="F700" s="73"/>
    </row>
    <row r="701" ht="15.75" customHeight="1">
      <c r="E701" s="72"/>
      <c r="F701" s="73"/>
    </row>
    <row r="702" ht="15.75" customHeight="1">
      <c r="E702" s="72"/>
      <c r="F702" s="73"/>
    </row>
    <row r="703" ht="15.75" customHeight="1">
      <c r="E703" s="72"/>
      <c r="F703" s="73"/>
    </row>
    <row r="704" ht="15.75" customHeight="1">
      <c r="E704" s="72"/>
      <c r="F704" s="73"/>
    </row>
    <row r="705" ht="15.75" customHeight="1">
      <c r="E705" s="72"/>
      <c r="F705" s="73"/>
    </row>
    <row r="706" ht="15.75" customHeight="1">
      <c r="E706" s="72"/>
      <c r="F706" s="73"/>
    </row>
    <row r="707" ht="15.75" customHeight="1">
      <c r="E707" s="72"/>
      <c r="F707" s="73"/>
    </row>
    <row r="708" ht="15.75" customHeight="1">
      <c r="E708" s="72"/>
      <c r="F708" s="73"/>
    </row>
    <row r="709" ht="15.75" customHeight="1">
      <c r="E709" s="72"/>
      <c r="F709" s="73"/>
    </row>
    <row r="710" ht="15.75" customHeight="1">
      <c r="E710" s="72"/>
      <c r="F710" s="73"/>
    </row>
    <row r="711" ht="15.75" customHeight="1">
      <c r="E711" s="72"/>
      <c r="F711" s="73"/>
    </row>
    <row r="712" ht="15.75" customHeight="1">
      <c r="E712" s="72"/>
      <c r="F712" s="73"/>
    </row>
    <row r="713" ht="15.75" customHeight="1">
      <c r="E713" s="72"/>
      <c r="F713" s="73"/>
    </row>
    <row r="714" ht="15.75" customHeight="1">
      <c r="E714" s="72"/>
      <c r="F714" s="73"/>
    </row>
    <row r="715" ht="15.75" customHeight="1">
      <c r="E715" s="72"/>
      <c r="F715" s="73"/>
    </row>
    <row r="716" ht="15.75" customHeight="1">
      <c r="E716" s="72"/>
      <c r="F716" s="73"/>
    </row>
    <row r="717" ht="15.75" customHeight="1">
      <c r="E717" s="72"/>
      <c r="F717" s="73"/>
    </row>
    <row r="718" ht="15.75" customHeight="1">
      <c r="E718" s="72"/>
      <c r="F718" s="73"/>
    </row>
    <row r="719" ht="15.75" customHeight="1">
      <c r="E719" s="72"/>
      <c r="F719" s="73"/>
    </row>
    <row r="720" ht="15.75" customHeight="1">
      <c r="E720" s="72"/>
      <c r="F720" s="73"/>
    </row>
    <row r="721" ht="15.75" customHeight="1">
      <c r="E721" s="72"/>
      <c r="F721" s="73"/>
    </row>
    <row r="722" ht="15.75" customHeight="1">
      <c r="E722" s="72"/>
      <c r="F722" s="73"/>
    </row>
    <row r="723" ht="15.75" customHeight="1">
      <c r="E723" s="72"/>
      <c r="F723" s="73"/>
    </row>
    <row r="724" ht="15.75" customHeight="1">
      <c r="E724" s="72"/>
      <c r="F724" s="73"/>
    </row>
    <row r="725" ht="15.75" customHeight="1">
      <c r="E725" s="72"/>
      <c r="F725" s="73"/>
    </row>
    <row r="726" ht="15.75" customHeight="1">
      <c r="E726" s="72"/>
      <c r="F726" s="73"/>
    </row>
    <row r="727" ht="15.75" customHeight="1">
      <c r="E727" s="72"/>
      <c r="F727" s="73"/>
    </row>
    <row r="728" ht="15.75" customHeight="1">
      <c r="E728" s="72"/>
      <c r="F728" s="73"/>
    </row>
    <row r="729" ht="15.75" customHeight="1">
      <c r="E729" s="72"/>
      <c r="F729" s="73"/>
    </row>
    <row r="730" ht="15.75" customHeight="1">
      <c r="E730" s="72"/>
      <c r="F730" s="73"/>
    </row>
    <row r="731" ht="15.75" customHeight="1">
      <c r="E731" s="72"/>
      <c r="F731" s="73"/>
    </row>
    <row r="732" ht="15.75" customHeight="1">
      <c r="E732" s="72"/>
      <c r="F732" s="73"/>
    </row>
    <row r="733" ht="15.75" customHeight="1">
      <c r="E733" s="72"/>
      <c r="F733" s="73"/>
    </row>
    <row r="734" ht="15.75" customHeight="1">
      <c r="E734" s="72"/>
      <c r="F734" s="73"/>
    </row>
    <row r="735" ht="15.75" customHeight="1">
      <c r="E735" s="72"/>
      <c r="F735" s="73"/>
    </row>
    <row r="736" ht="15.75" customHeight="1">
      <c r="E736" s="72"/>
      <c r="F736" s="73"/>
    </row>
    <row r="737" ht="15.75" customHeight="1">
      <c r="E737" s="72"/>
      <c r="F737" s="73"/>
    </row>
    <row r="738" ht="15.75" customHeight="1">
      <c r="E738" s="72"/>
      <c r="F738" s="73"/>
    </row>
    <row r="739" ht="15.75" customHeight="1">
      <c r="E739" s="72"/>
      <c r="F739" s="73"/>
    </row>
    <row r="740" ht="15.75" customHeight="1">
      <c r="E740" s="72"/>
      <c r="F740" s="73"/>
    </row>
    <row r="741" ht="15.75" customHeight="1">
      <c r="E741" s="72"/>
      <c r="F741" s="73"/>
    </row>
    <row r="742" ht="15.75" customHeight="1">
      <c r="E742" s="72"/>
      <c r="F742" s="73"/>
    </row>
    <row r="743" ht="15.75" customHeight="1">
      <c r="E743" s="72"/>
      <c r="F743" s="73"/>
    </row>
    <row r="744" ht="15.75" customHeight="1">
      <c r="E744" s="72"/>
      <c r="F744" s="73"/>
    </row>
    <row r="745" ht="15.75" customHeight="1">
      <c r="E745" s="72"/>
      <c r="F745" s="73"/>
    </row>
    <row r="746" ht="15.75" customHeight="1">
      <c r="E746" s="72"/>
      <c r="F746" s="73"/>
    </row>
    <row r="747" ht="15.75" customHeight="1">
      <c r="E747" s="72"/>
      <c r="F747" s="73"/>
    </row>
    <row r="748" ht="15.75" customHeight="1">
      <c r="E748" s="72"/>
      <c r="F748" s="73"/>
    </row>
    <row r="749" ht="15.75" customHeight="1">
      <c r="E749" s="72"/>
      <c r="F749" s="73"/>
    </row>
    <row r="750" ht="15.75" customHeight="1">
      <c r="E750" s="72"/>
      <c r="F750" s="73"/>
    </row>
    <row r="751" ht="15.75" customHeight="1">
      <c r="E751" s="72"/>
      <c r="F751" s="73"/>
    </row>
    <row r="752" ht="15.75" customHeight="1">
      <c r="E752" s="72"/>
      <c r="F752" s="73"/>
    </row>
    <row r="753" ht="15.75" customHeight="1">
      <c r="E753" s="72"/>
      <c r="F753" s="73"/>
    </row>
    <row r="754" ht="15.75" customHeight="1">
      <c r="E754" s="72"/>
      <c r="F754" s="73"/>
    </row>
    <row r="755" ht="15.75" customHeight="1">
      <c r="E755" s="72"/>
      <c r="F755" s="73"/>
    </row>
    <row r="756" ht="15.75" customHeight="1">
      <c r="E756" s="72"/>
      <c r="F756" s="73"/>
    </row>
    <row r="757" ht="15.75" customHeight="1">
      <c r="E757" s="72"/>
      <c r="F757" s="73"/>
    </row>
    <row r="758" ht="15.75" customHeight="1">
      <c r="E758" s="72"/>
      <c r="F758" s="73"/>
    </row>
    <row r="759" ht="15.75" customHeight="1">
      <c r="E759" s="72"/>
      <c r="F759" s="73"/>
    </row>
    <row r="760" ht="15.75" customHeight="1">
      <c r="E760" s="72"/>
      <c r="F760" s="73"/>
    </row>
    <row r="761" ht="15.75" customHeight="1">
      <c r="E761" s="72"/>
      <c r="F761" s="73"/>
    </row>
    <row r="762" ht="15.75" customHeight="1">
      <c r="E762" s="72"/>
      <c r="F762" s="73"/>
    </row>
    <row r="763" ht="15.75" customHeight="1">
      <c r="E763" s="72"/>
      <c r="F763" s="73"/>
    </row>
    <row r="764" ht="15.75" customHeight="1">
      <c r="E764" s="72"/>
      <c r="F764" s="73"/>
    </row>
    <row r="765" ht="15.75" customHeight="1">
      <c r="E765" s="72"/>
      <c r="F765" s="73"/>
    </row>
    <row r="766" ht="15.75" customHeight="1">
      <c r="E766" s="72"/>
      <c r="F766" s="73"/>
    </row>
    <row r="767" ht="15.75" customHeight="1">
      <c r="E767" s="72"/>
      <c r="F767" s="73"/>
    </row>
    <row r="768" ht="15.75" customHeight="1">
      <c r="E768" s="72"/>
      <c r="F768" s="73"/>
    </row>
    <row r="769" ht="15.75" customHeight="1">
      <c r="E769" s="72"/>
      <c r="F769" s="73"/>
    </row>
    <row r="770" ht="15.75" customHeight="1">
      <c r="E770" s="72"/>
      <c r="F770" s="73"/>
    </row>
    <row r="771" ht="15.75" customHeight="1">
      <c r="E771" s="72"/>
      <c r="F771" s="73"/>
    </row>
    <row r="772" ht="15.75" customHeight="1">
      <c r="E772" s="72"/>
      <c r="F772" s="73"/>
    </row>
    <row r="773" ht="15.75" customHeight="1">
      <c r="E773" s="72"/>
      <c r="F773" s="73"/>
    </row>
    <row r="774" ht="15.75" customHeight="1">
      <c r="E774" s="72"/>
      <c r="F774" s="73"/>
    </row>
    <row r="775" ht="15.75" customHeight="1">
      <c r="E775" s="72"/>
      <c r="F775" s="73"/>
    </row>
    <row r="776" ht="15.75" customHeight="1">
      <c r="E776" s="72"/>
      <c r="F776" s="73"/>
    </row>
    <row r="777" ht="15.75" customHeight="1">
      <c r="E777" s="72"/>
      <c r="F777" s="73"/>
    </row>
    <row r="778" ht="15.75" customHeight="1">
      <c r="E778" s="72"/>
      <c r="F778" s="73"/>
    </row>
    <row r="779" ht="15.75" customHeight="1">
      <c r="E779" s="72"/>
      <c r="F779" s="73"/>
    </row>
    <row r="780" ht="15.75" customHeight="1">
      <c r="E780" s="72"/>
      <c r="F780" s="73"/>
    </row>
    <row r="781" ht="15.75" customHeight="1">
      <c r="E781" s="72"/>
      <c r="F781" s="73"/>
    </row>
    <row r="782" ht="15.75" customHeight="1">
      <c r="E782" s="72"/>
      <c r="F782" s="73"/>
    </row>
    <row r="783" ht="15.75" customHeight="1">
      <c r="E783" s="72"/>
      <c r="F783" s="73"/>
    </row>
    <row r="784" ht="15.75" customHeight="1">
      <c r="E784" s="72"/>
      <c r="F784" s="73"/>
    </row>
    <row r="785" ht="15.75" customHeight="1">
      <c r="E785" s="72"/>
      <c r="F785" s="73"/>
    </row>
    <row r="786" ht="15.75" customHeight="1">
      <c r="E786" s="72"/>
      <c r="F786" s="73"/>
    </row>
    <row r="787" ht="15.75" customHeight="1">
      <c r="E787" s="72"/>
      <c r="F787" s="73"/>
    </row>
    <row r="788" ht="15.75" customHeight="1">
      <c r="E788" s="72"/>
      <c r="F788" s="73"/>
    </row>
    <row r="789" ht="15.75" customHeight="1">
      <c r="E789" s="72"/>
      <c r="F789" s="73"/>
    </row>
    <row r="790" ht="15.75" customHeight="1">
      <c r="E790" s="72"/>
      <c r="F790" s="73"/>
    </row>
    <row r="791" ht="15.75" customHeight="1">
      <c r="E791" s="72"/>
      <c r="F791" s="73"/>
    </row>
    <row r="792" ht="15.75" customHeight="1">
      <c r="E792" s="72"/>
      <c r="F792" s="73"/>
    </row>
    <row r="793" ht="15.75" customHeight="1">
      <c r="E793" s="72"/>
      <c r="F793" s="73"/>
    </row>
    <row r="794" ht="15.75" customHeight="1">
      <c r="E794" s="72"/>
      <c r="F794" s="73"/>
    </row>
    <row r="795" ht="15.75" customHeight="1">
      <c r="E795" s="72"/>
      <c r="F795" s="73"/>
    </row>
    <row r="796" ht="15.75" customHeight="1">
      <c r="E796" s="72"/>
      <c r="F796" s="73"/>
    </row>
    <row r="797" ht="15.75" customHeight="1">
      <c r="E797" s="72"/>
      <c r="F797" s="73"/>
    </row>
    <row r="798" ht="15.75" customHeight="1">
      <c r="E798" s="72"/>
      <c r="F798" s="73"/>
    </row>
    <row r="799" ht="15.75" customHeight="1">
      <c r="E799" s="72"/>
      <c r="F799" s="73"/>
    </row>
    <row r="800" ht="15.75" customHeight="1">
      <c r="E800" s="72"/>
      <c r="F800" s="73"/>
    </row>
    <row r="801" ht="15.75" customHeight="1">
      <c r="E801" s="72"/>
      <c r="F801" s="73"/>
    </row>
    <row r="802" ht="15.75" customHeight="1">
      <c r="E802" s="72"/>
      <c r="F802" s="73"/>
    </row>
    <row r="803" ht="15.75" customHeight="1">
      <c r="E803" s="72"/>
      <c r="F803" s="73"/>
    </row>
    <row r="804" ht="15.75" customHeight="1">
      <c r="E804" s="72"/>
      <c r="F804" s="73"/>
    </row>
    <row r="805" ht="15.75" customHeight="1">
      <c r="E805" s="72"/>
      <c r="F805" s="73"/>
    </row>
    <row r="806" ht="15.75" customHeight="1">
      <c r="E806" s="72"/>
      <c r="F806" s="73"/>
    </row>
    <row r="807" ht="15.75" customHeight="1">
      <c r="E807" s="72"/>
      <c r="F807" s="73"/>
    </row>
    <row r="808" ht="15.75" customHeight="1">
      <c r="E808" s="72"/>
      <c r="F808" s="73"/>
    </row>
    <row r="809" ht="15.75" customHeight="1">
      <c r="E809" s="72"/>
      <c r="F809" s="73"/>
    </row>
    <row r="810" ht="15.75" customHeight="1">
      <c r="E810" s="72"/>
      <c r="F810" s="73"/>
    </row>
    <row r="811" ht="15.75" customHeight="1">
      <c r="E811" s="72"/>
      <c r="F811" s="73"/>
    </row>
    <row r="812" ht="15.75" customHeight="1">
      <c r="E812" s="72"/>
      <c r="F812" s="73"/>
    </row>
    <row r="813" ht="15.75" customHeight="1">
      <c r="E813" s="72"/>
      <c r="F813" s="73"/>
    </row>
    <row r="814" ht="15.75" customHeight="1">
      <c r="E814" s="72"/>
      <c r="F814" s="73"/>
    </row>
    <row r="815" ht="15.75" customHeight="1">
      <c r="E815" s="72"/>
      <c r="F815" s="73"/>
    </row>
    <row r="816" ht="15.75" customHeight="1">
      <c r="E816" s="72"/>
      <c r="F816" s="73"/>
    </row>
    <row r="817" ht="15.75" customHeight="1">
      <c r="E817" s="72"/>
      <c r="F817" s="73"/>
    </row>
    <row r="818" ht="15.75" customHeight="1">
      <c r="E818" s="72"/>
      <c r="F818" s="73"/>
    </row>
    <row r="819" ht="15.75" customHeight="1">
      <c r="E819" s="72"/>
      <c r="F819" s="73"/>
    </row>
    <row r="820" ht="15.75" customHeight="1">
      <c r="E820" s="72"/>
      <c r="F820" s="73"/>
    </row>
    <row r="821" ht="15.75" customHeight="1">
      <c r="E821" s="72"/>
      <c r="F821" s="73"/>
    </row>
    <row r="822" ht="15.75" customHeight="1">
      <c r="E822" s="72"/>
      <c r="F822" s="73"/>
    </row>
    <row r="823" ht="15.75" customHeight="1">
      <c r="E823" s="72"/>
      <c r="F823" s="73"/>
    </row>
    <row r="824" ht="15.75" customHeight="1">
      <c r="E824" s="72"/>
      <c r="F824" s="73"/>
    </row>
    <row r="825" ht="15.75" customHeight="1">
      <c r="E825" s="72"/>
      <c r="F825" s="73"/>
    </row>
    <row r="826" ht="15.75" customHeight="1">
      <c r="E826" s="72"/>
      <c r="F826" s="73"/>
    </row>
    <row r="827" ht="15.75" customHeight="1">
      <c r="E827" s="72"/>
      <c r="F827" s="73"/>
    </row>
    <row r="828" ht="15.75" customHeight="1">
      <c r="E828" s="72"/>
      <c r="F828" s="73"/>
    </row>
    <row r="829" ht="15.75" customHeight="1">
      <c r="E829" s="72"/>
      <c r="F829" s="73"/>
    </row>
    <row r="830" ht="15.75" customHeight="1">
      <c r="E830" s="72"/>
      <c r="F830" s="73"/>
    </row>
    <row r="831" ht="15.75" customHeight="1">
      <c r="E831" s="72"/>
      <c r="F831" s="73"/>
    </row>
    <row r="832" ht="15.75" customHeight="1">
      <c r="E832" s="72"/>
      <c r="F832" s="73"/>
    </row>
    <row r="833" ht="15.75" customHeight="1">
      <c r="E833" s="72"/>
      <c r="F833" s="73"/>
    </row>
    <row r="834" ht="15.75" customHeight="1">
      <c r="E834" s="72"/>
      <c r="F834" s="73"/>
    </row>
    <row r="835" ht="15.75" customHeight="1">
      <c r="E835" s="72"/>
      <c r="F835" s="73"/>
    </row>
    <row r="836" ht="15.75" customHeight="1">
      <c r="E836" s="72"/>
      <c r="F836" s="73"/>
    </row>
    <row r="837" ht="15.75" customHeight="1">
      <c r="E837" s="72"/>
      <c r="F837" s="73"/>
    </row>
    <row r="838" ht="15.75" customHeight="1">
      <c r="E838" s="72"/>
      <c r="F838" s="73"/>
    </row>
    <row r="839" ht="15.75" customHeight="1">
      <c r="E839" s="72"/>
      <c r="F839" s="73"/>
    </row>
    <row r="840" ht="15.75" customHeight="1">
      <c r="E840" s="72"/>
      <c r="F840" s="73"/>
    </row>
    <row r="841" ht="15.75" customHeight="1">
      <c r="E841" s="72"/>
      <c r="F841" s="73"/>
    </row>
    <row r="842" ht="15.75" customHeight="1">
      <c r="E842" s="72"/>
      <c r="F842" s="73"/>
    </row>
    <row r="843" ht="15.75" customHeight="1">
      <c r="E843" s="72"/>
      <c r="F843" s="73"/>
    </row>
    <row r="844" ht="15.75" customHeight="1">
      <c r="E844" s="72"/>
      <c r="F844" s="73"/>
    </row>
    <row r="845" ht="15.75" customHeight="1">
      <c r="E845" s="72"/>
      <c r="F845" s="73"/>
    </row>
    <row r="846" ht="15.75" customHeight="1">
      <c r="E846" s="72"/>
      <c r="F846" s="73"/>
    </row>
    <row r="847" ht="15.75" customHeight="1">
      <c r="E847" s="72"/>
      <c r="F847" s="73"/>
    </row>
    <row r="848" ht="15.75" customHeight="1">
      <c r="E848" s="72"/>
      <c r="F848" s="73"/>
    </row>
    <row r="849" ht="15.75" customHeight="1">
      <c r="E849" s="72"/>
      <c r="F849" s="73"/>
    </row>
    <row r="850" ht="15.75" customHeight="1">
      <c r="E850" s="72"/>
      <c r="F850" s="73"/>
    </row>
    <row r="851" ht="15.75" customHeight="1">
      <c r="E851" s="72"/>
      <c r="F851" s="73"/>
    </row>
    <row r="852" ht="15.75" customHeight="1">
      <c r="E852" s="72"/>
      <c r="F852" s="73"/>
    </row>
    <row r="853" ht="15.75" customHeight="1">
      <c r="E853" s="72"/>
      <c r="F853" s="73"/>
    </row>
    <row r="854" ht="15.75" customHeight="1">
      <c r="E854" s="72"/>
      <c r="F854" s="73"/>
    </row>
    <row r="855" ht="15.75" customHeight="1">
      <c r="E855" s="72"/>
      <c r="F855" s="73"/>
    </row>
    <row r="856" ht="15.75" customHeight="1">
      <c r="E856" s="72"/>
      <c r="F856" s="73"/>
    </row>
    <row r="857" ht="15.75" customHeight="1">
      <c r="E857" s="72"/>
      <c r="F857" s="73"/>
    </row>
    <row r="858" ht="15.75" customHeight="1">
      <c r="E858" s="72"/>
      <c r="F858" s="73"/>
    </row>
    <row r="859" ht="15.75" customHeight="1">
      <c r="E859" s="72"/>
      <c r="F859" s="73"/>
    </row>
    <row r="860" ht="15.75" customHeight="1">
      <c r="E860" s="72"/>
      <c r="F860" s="73"/>
    </row>
    <row r="861" ht="15.75" customHeight="1">
      <c r="E861" s="72"/>
      <c r="F861" s="73"/>
    </row>
    <row r="862" ht="15.75" customHeight="1">
      <c r="E862" s="72"/>
      <c r="F862" s="73"/>
    </row>
    <row r="863" ht="15.75" customHeight="1">
      <c r="E863" s="72"/>
      <c r="F863" s="73"/>
    </row>
    <row r="864" ht="15.75" customHeight="1">
      <c r="E864" s="72"/>
      <c r="F864" s="73"/>
    </row>
    <row r="865" ht="15.75" customHeight="1">
      <c r="E865" s="72"/>
      <c r="F865" s="73"/>
    </row>
    <row r="866" ht="15.75" customHeight="1">
      <c r="E866" s="72"/>
      <c r="F866" s="73"/>
    </row>
    <row r="867" ht="15.75" customHeight="1">
      <c r="E867" s="72"/>
      <c r="F867" s="73"/>
    </row>
    <row r="868" ht="15.75" customHeight="1">
      <c r="E868" s="72"/>
      <c r="F868" s="73"/>
    </row>
    <row r="869" ht="15.75" customHeight="1">
      <c r="E869" s="72"/>
      <c r="F869" s="73"/>
    </row>
    <row r="870" ht="15.75" customHeight="1">
      <c r="E870" s="72"/>
      <c r="F870" s="73"/>
    </row>
    <row r="871" ht="15.75" customHeight="1">
      <c r="E871" s="72"/>
      <c r="F871" s="73"/>
    </row>
    <row r="872" ht="15.75" customHeight="1">
      <c r="E872" s="72"/>
      <c r="F872" s="73"/>
    </row>
    <row r="873" ht="15.75" customHeight="1">
      <c r="E873" s="72"/>
      <c r="F873" s="73"/>
    </row>
    <row r="874" ht="15.75" customHeight="1">
      <c r="E874" s="72"/>
      <c r="F874" s="73"/>
    </row>
    <row r="875" ht="15.75" customHeight="1">
      <c r="E875" s="72"/>
      <c r="F875" s="73"/>
    </row>
    <row r="876" ht="15.75" customHeight="1">
      <c r="E876" s="72"/>
      <c r="F876" s="73"/>
    </row>
    <row r="877" ht="15.75" customHeight="1">
      <c r="E877" s="72"/>
      <c r="F877" s="73"/>
    </row>
    <row r="878" ht="15.75" customHeight="1">
      <c r="E878" s="72"/>
      <c r="F878" s="73"/>
    </row>
    <row r="879" ht="15.75" customHeight="1">
      <c r="E879" s="72"/>
      <c r="F879" s="73"/>
    </row>
    <row r="880" ht="15.75" customHeight="1">
      <c r="E880" s="72"/>
      <c r="F880" s="73"/>
    </row>
    <row r="881" ht="15.75" customHeight="1">
      <c r="E881" s="72"/>
      <c r="F881" s="73"/>
    </row>
    <row r="882" ht="15.75" customHeight="1">
      <c r="E882" s="72"/>
      <c r="F882" s="73"/>
    </row>
    <row r="883" ht="15.75" customHeight="1">
      <c r="E883" s="72"/>
      <c r="F883" s="73"/>
    </row>
    <row r="884" ht="15.75" customHeight="1">
      <c r="E884" s="72"/>
      <c r="F884" s="73"/>
    </row>
    <row r="885" ht="15.75" customHeight="1">
      <c r="E885" s="72"/>
      <c r="F885" s="73"/>
    </row>
    <row r="886" ht="15.75" customHeight="1">
      <c r="E886" s="72"/>
      <c r="F886" s="73"/>
    </row>
    <row r="887" ht="15.75" customHeight="1">
      <c r="E887" s="72"/>
      <c r="F887" s="73"/>
    </row>
    <row r="888" ht="15.75" customHeight="1">
      <c r="E888" s="72"/>
      <c r="F888" s="73"/>
    </row>
    <row r="889" ht="15.75" customHeight="1">
      <c r="E889" s="72"/>
      <c r="F889" s="73"/>
    </row>
    <row r="890" ht="15.75" customHeight="1">
      <c r="E890" s="72"/>
      <c r="F890" s="73"/>
    </row>
    <row r="891" ht="15.75" customHeight="1">
      <c r="E891" s="72"/>
      <c r="F891" s="73"/>
    </row>
    <row r="892" ht="15.75" customHeight="1">
      <c r="E892" s="72"/>
      <c r="F892" s="73"/>
    </row>
    <row r="893" ht="15.75" customHeight="1">
      <c r="E893" s="72"/>
      <c r="F893" s="73"/>
    </row>
    <row r="894" ht="15.75" customHeight="1">
      <c r="E894" s="72"/>
      <c r="F894" s="73"/>
    </row>
    <row r="895" ht="15.75" customHeight="1">
      <c r="E895" s="72"/>
      <c r="F895" s="73"/>
    </row>
    <row r="896" ht="15.75" customHeight="1">
      <c r="E896" s="72"/>
      <c r="F896" s="73"/>
    </row>
    <row r="897" ht="15.75" customHeight="1">
      <c r="E897" s="72"/>
      <c r="F897" s="73"/>
    </row>
    <row r="898" ht="15.75" customHeight="1">
      <c r="E898" s="72"/>
      <c r="F898" s="73"/>
    </row>
    <row r="899" ht="15.75" customHeight="1">
      <c r="E899" s="72"/>
      <c r="F899" s="73"/>
    </row>
    <row r="900" ht="15.75" customHeight="1">
      <c r="E900" s="72"/>
      <c r="F900" s="73"/>
    </row>
    <row r="901" ht="15.75" customHeight="1">
      <c r="E901" s="72"/>
      <c r="F901" s="73"/>
    </row>
    <row r="902" ht="15.75" customHeight="1">
      <c r="E902" s="72"/>
      <c r="F902" s="73"/>
    </row>
    <row r="903" ht="15.75" customHeight="1">
      <c r="E903" s="72"/>
      <c r="F903" s="73"/>
    </row>
    <row r="904" ht="15.75" customHeight="1">
      <c r="E904" s="72"/>
      <c r="F904" s="73"/>
    </row>
    <row r="905" ht="15.75" customHeight="1">
      <c r="E905" s="72"/>
      <c r="F905" s="73"/>
    </row>
    <row r="906" ht="15.75" customHeight="1">
      <c r="E906" s="72"/>
      <c r="F906" s="73"/>
    </row>
    <row r="907" ht="15.75" customHeight="1">
      <c r="E907" s="72"/>
      <c r="F907" s="73"/>
    </row>
    <row r="908" ht="15.75" customHeight="1">
      <c r="E908" s="72"/>
      <c r="F908" s="73"/>
    </row>
    <row r="909" ht="15.75" customHeight="1">
      <c r="E909" s="72"/>
      <c r="F909" s="73"/>
    </row>
    <row r="910" ht="15.75" customHeight="1">
      <c r="E910" s="72"/>
      <c r="F910" s="73"/>
    </row>
    <row r="911" ht="15.75" customHeight="1">
      <c r="E911" s="72"/>
      <c r="F911" s="73"/>
    </row>
    <row r="912" ht="15.75" customHeight="1">
      <c r="E912" s="72"/>
      <c r="F912" s="73"/>
    </row>
    <row r="913" ht="15.75" customHeight="1">
      <c r="E913" s="72"/>
      <c r="F913" s="73"/>
    </row>
    <row r="914" ht="15.75" customHeight="1">
      <c r="E914" s="72"/>
      <c r="F914" s="73"/>
    </row>
    <row r="915" ht="15.75" customHeight="1">
      <c r="E915" s="72"/>
      <c r="F915" s="73"/>
    </row>
    <row r="916" ht="15.75" customHeight="1">
      <c r="E916" s="72"/>
      <c r="F916" s="73"/>
    </row>
    <row r="917" ht="15.75" customHeight="1">
      <c r="E917" s="72"/>
      <c r="F917" s="73"/>
    </row>
    <row r="918" ht="15.75" customHeight="1">
      <c r="E918" s="72"/>
      <c r="F918" s="73"/>
    </row>
    <row r="919" ht="15.75" customHeight="1">
      <c r="E919" s="72"/>
      <c r="F919" s="73"/>
    </row>
    <row r="920" ht="15.75" customHeight="1">
      <c r="E920" s="72"/>
      <c r="F920" s="73"/>
    </row>
    <row r="921" ht="15.75" customHeight="1">
      <c r="E921" s="72"/>
      <c r="F921" s="73"/>
    </row>
    <row r="922" ht="15.75" customHeight="1">
      <c r="E922" s="72"/>
      <c r="F922" s="73"/>
    </row>
    <row r="923" ht="15.75" customHeight="1">
      <c r="E923" s="72"/>
      <c r="F923" s="73"/>
    </row>
    <row r="924" ht="15.75" customHeight="1">
      <c r="E924" s="72"/>
      <c r="F924" s="73"/>
    </row>
    <row r="925" ht="15.75" customHeight="1">
      <c r="E925" s="72"/>
      <c r="F925" s="73"/>
    </row>
    <row r="926" ht="15.75" customHeight="1">
      <c r="E926" s="72"/>
      <c r="F926" s="73"/>
    </row>
    <row r="927" ht="15.75" customHeight="1">
      <c r="E927" s="72"/>
      <c r="F927" s="73"/>
    </row>
    <row r="928" ht="15.75" customHeight="1">
      <c r="E928" s="72"/>
      <c r="F928" s="73"/>
    </row>
    <row r="929" ht="15.75" customHeight="1">
      <c r="E929" s="72"/>
      <c r="F929" s="73"/>
    </row>
    <row r="930" ht="15.75" customHeight="1">
      <c r="E930" s="72"/>
      <c r="F930" s="73"/>
    </row>
    <row r="931" ht="15.75" customHeight="1">
      <c r="E931" s="72"/>
      <c r="F931" s="73"/>
    </row>
    <row r="932" ht="15.75" customHeight="1">
      <c r="E932" s="72"/>
      <c r="F932" s="73"/>
    </row>
    <row r="933" ht="15.75" customHeight="1">
      <c r="E933" s="72"/>
      <c r="F933" s="73"/>
    </row>
    <row r="934" ht="15.75" customHeight="1">
      <c r="E934" s="72"/>
      <c r="F934" s="73"/>
    </row>
    <row r="935" ht="15.75" customHeight="1">
      <c r="E935" s="72"/>
      <c r="F935" s="73"/>
    </row>
    <row r="936" ht="15.75" customHeight="1">
      <c r="E936" s="72"/>
      <c r="F936" s="73"/>
    </row>
    <row r="937" ht="15.75" customHeight="1">
      <c r="E937" s="72"/>
      <c r="F937" s="73"/>
    </row>
    <row r="938" ht="15.75" customHeight="1">
      <c r="E938" s="72"/>
      <c r="F938" s="73"/>
    </row>
    <row r="939" ht="15.75" customHeight="1">
      <c r="E939" s="72"/>
      <c r="F939" s="73"/>
    </row>
    <row r="940" ht="15.75" customHeight="1">
      <c r="E940" s="72"/>
      <c r="F940" s="73"/>
    </row>
    <row r="941" ht="15.75" customHeight="1">
      <c r="E941" s="72"/>
      <c r="F941" s="73"/>
    </row>
    <row r="942" ht="15.75" customHeight="1">
      <c r="E942" s="72"/>
      <c r="F942" s="73"/>
    </row>
    <row r="943" ht="15.75" customHeight="1">
      <c r="E943" s="72"/>
      <c r="F943" s="73"/>
    </row>
    <row r="944" ht="15.75" customHeight="1">
      <c r="E944" s="72"/>
      <c r="F944" s="73"/>
    </row>
    <row r="945" ht="15.75" customHeight="1">
      <c r="E945" s="72"/>
      <c r="F945" s="73"/>
    </row>
    <row r="946" ht="15.75" customHeight="1">
      <c r="E946" s="72"/>
      <c r="F946" s="73"/>
    </row>
    <row r="947" ht="15.75" customHeight="1">
      <c r="E947" s="72"/>
      <c r="F947" s="73"/>
    </row>
    <row r="948" ht="15.75" customHeight="1">
      <c r="E948" s="72"/>
      <c r="F948" s="73"/>
    </row>
    <row r="949" ht="15.75" customHeight="1">
      <c r="E949" s="72"/>
      <c r="F949" s="73"/>
    </row>
    <row r="950" ht="15.75" customHeight="1">
      <c r="E950" s="72"/>
      <c r="F950" s="73"/>
    </row>
    <row r="951" ht="15.75" customHeight="1">
      <c r="E951" s="72"/>
      <c r="F951" s="73"/>
    </row>
    <row r="952" ht="15.75" customHeight="1">
      <c r="E952" s="72"/>
      <c r="F952" s="73"/>
    </row>
    <row r="953" ht="15.75" customHeight="1">
      <c r="E953" s="72"/>
      <c r="F953" s="73"/>
    </row>
    <row r="954" ht="15.75" customHeight="1">
      <c r="E954" s="72"/>
      <c r="F954" s="73"/>
    </row>
    <row r="955" ht="15.75" customHeight="1">
      <c r="E955" s="72"/>
      <c r="F955" s="73"/>
    </row>
    <row r="956" ht="15.75" customHeight="1">
      <c r="E956" s="72"/>
      <c r="F956" s="73"/>
    </row>
    <row r="957" ht="15.75" customHeight="1">
      <c r="E957" s="72"/>
      <c r="F957" s="73"/>
    </row>
    <row r="958" ht="15.75" customHeight="1">
      <c r="E958" s="72"/>
      <c r="F958" s="73"/>
    </row>
    <row r="959" ht="15.75" customHeight="1">
      <c r="E959" s="72"/>
      <c r="F959" s="73"/>
    </row>
    <row r="960" ht="15.75" customHeight="1">
      <c r="E960" s="72"/>
      <c r="F960" s="73"/>
    </row>
    <row r="961" ht="15.75" customHeight="1">
      <c r="E961" s="72"/>
      <c r="F961" s="73"/>
    </row>
    <row r="962" ht="15.75" customHeight="1">
      <c r="E962" s="72"/>
      <c r="F962" s="73"/>
    </row>
    <row r="963" ht="15.75" customHeight="1">
      <c r="E963" s="72"/>
      <c r="F963" s="73"/>
    </row>
    <row r="964" ht="15.75" customHeight="1">
      <c r="E964" s="72"/>
      <c r="F964" s="73"/>
    </row>
    <row r="965" ht="15.75" customHeight="1">
      <c r="E965" s="72"/>
      <c r="F965" s="73"/>
    </row>
    <row r="966" ht="15.75" customHeight="1">
      <c r="E966" s="72"/>
      <c r="F966" s="73"/>
    </row>
    <row r="967" ht="15.75" customHeight="1">
      <c r="E967" s="72"/>
      <c r="F967" s="73"/>
    </row>
    <row r="968" ht="15.75" customHeight="1">
      <c r="E968" s="72"/>
      <c r="F968" s="73"/>
    </row>
    <row r="969" ht="15.75" customHeight="1">
      <c r="E969" s="72"/>
      <c r="F969" s="73"/>
    </row>
    <row r="970" ht="15.75" customHeight="1">
      <c r="E970" s="72"/>
      <c r="F970" s="73"/>
    </row>
    <row r="971" ht="15.75" customHeight="1">
      <c r="E971" s="72"/>
      <c r="F971" s="73"/>
    </row>
    <row r="972" ht="15.75" customHeight="1">
      <c r="E972" s="72"/>
      <c r="F972" s="73"/>
    </row>
    <row r="973" ht="15.75" customHeight="1">
      <c r="E973" s="72"/>
      <c r="F973" s="73"/>
    </row>
    <row r="974" ht="15.75" customHeight="1">
      <c r="E974" s="72"/>
      <c r="F974" s="73"/>
    </row>
    <row r="975" ht="15.75" customHeight="1">
      <c r="E975" s="72"/>
      <c r="F975" s="73"/>
    </row>
    <row r="976" ht="15.75" customHeight="1">
      <c r="E976" s="72"/>
      <c r="F976" s="73"/>
    </row>
    <row r="977" ht="15.75" customHeight="1">
      <c r="E977" s="72"/>
      <c r="F977" s="73"/>
    </row>
    <row r="978" ht="15.75" customHeight="1">
      <c r="E978" s="72"/>
      <c r="F978" s="73"/>
    </row>
    <row r="979" ht="15.75" customHeight="1">
      <c r="E979" s="72"/>
      <c r="F979" s="73"/>
    </row>
    <row r="980" ht="15.75" customHeight="1">
      <c r="E980" s="72"/>
      <c r="F980" s="73"/>
    </row>
    <row r="981" ht="15.75" customHeight="1">
      <c r="E981" s="72"/>
      <c r="F981" s="73"/>
    </row>
    <row r="982" ht="15.75" customHeight="1">
      <c r="E982" s="72"/>
      <c r="F982" s="73"/>
    </row>
    <row r="983" ht="15.75" customHeight="1">
      <c r="E983" s="72"/>
      <c r="F983" s="73"/>
    </row>
    <row r="984" ht="15.75" customHeight="1">
      <c r="E984" s="72"/>
      <c r="F984" s="73"/>
    </row>
    <row r="985" ht="15.75" customHeight="1">
      <c r="E985" s="72"/>
      <c r="F985" s="73"/>
    </row>
    <row r="986" ht="15.75" customHeight="1">
      <c r="E986" s="72"/>
      <c r="F986" s="73"/>
    </row>
    <row r="987" ht="15.75" customHeight="1">
      <c r="E987" s="72"/>
      <c r="F987" s="73"/>
    </row>
    <row r="988" ht="15.75" customHeight="1">
      <c r="E988" s="72"/>
      <c r="F988" s="73"/>
    </row>
    <row r="989" ht="15.75" customHeight="1">
      <c r="E989" s="72"/>
      <c r="F989" s="73"/>
    </row>
    <row r="990" ht="15.75" customHeight="1">
      <c r="E990" s="72"/>
      <c r="F990" s="73"/>
    </row>
    <row r="991" ht="15.75" customHeight="1">
      <c r="E991" s="72"/>
      <c r="F991" s="73"/>
    </row>
    <row r="992" ht="15.75" customHeight="1">
      <c r="E992" s="72"/>
      <c r="F992" s="73"/>
    </row>
    <row r="993" ht="15.75" customHeight="1">
      <c r="E993" s="72"/>
      <c r="F993" s="73"/>
    </row>
    <row r="994" ht="15.75" customHeight="1">
      <c r="E994" s="72"/>
      <c r="F994" s="73"/>
    </row>
    <row r="995" ht="15.75" customHeight="1">
      <c r="E995" s="72"/>
      <c r="F995" s="73"/>
    </row>
    <row r="996" ht="15.75" customHeight="1">
      <c r="E996" s="72"/>
      <c r="F996" s="73"/>
    </row>
    <row r="997" ht="15.75" customHeight="1">
      <c r="E997" s="72"/>
      <c r="F997" s="73"/>
    </row>
    <row r="998" ht="15.75" customHeight="1">
      <c r="E998" s="72"/>
      <c r="F998" s="73"/>
    </row>
    <row r="999" ht="15.75" customHeight="1">
      <c r="E999" s="72"/>
      <c r="F999" s="73"/>
    </row>
    <row r="1000" ht="15.75" customHeight="1">
      <c r="E1000" s="72"/>
      <c r="F1000" s="73"/>
    </row>
    <row r="1001" ht="15.75" customHeight="1">
      <c r="E1001" s="72"/>
      <c r="F1001" s="73"/>
    </row>
    <row r="1002" ht="15.75" customHeight="1">
      <c r="E1002" s="72"/>
      <c r="F1002" s="73"/>
    </row>
    <row r="1003" ht="15.75" customHeight="1">
      <c r="E1003" s="72"/>
      <c r="F1003" s="73"/>
    </row>
    <row r="1004" ht="15.75" customHeight="1">
      <c r="E1004" s="72"/>
      <c r="F1004" s="73"/>
    </row>
    <row r="1005" ht="15.75" customHeight="1">
      <c r="E1005" s="72"/>
      <c r="F1005" s="73"/>
    </row>
    <row r="1006" ht="15.75" customHeight="1">
      <c r="E1006" s="72"/>
      <c r="F1006" s="73"/>
    </row>
    <row r="1007" ht="15.75" customHeight="1">
      <c r="E1007" s="72"/>
      <c r="F1007" s="73"/>
    </row>
    <row r="1008" ht="15.75" customHeight="1">
      <c r="E1008" s="72"/>
      <c r="F1008" s="73"/>
    </row>
    <row r="1009" ht="15.75" customHeight="1">
      <c r="E1009" s="72"/>
      <c r="F1009" s="73"/>
    </row>
    <row r="1010" ht="15.75" customHeight="1">
      <c r="E1010" s="72"/>
      <c r="F1010" s="73"/>
    </row>
    <row r="1011" ht="15.75" customHeight="1">
      <c r="E1011" s="72"/>
      <c r="F1011" s="73"/>
    </row>
    <row r="1012" ht="15.75" customHeight="1">
      <c r="E1012" s="72"/>
      <c r="F1012" s="73"/>
    </row>
    <row r="1013" ht="15.75" customHeight="1">
      <c r="E1013" s="72"/>
      <c r="F1013" s="73"/>
    </row>
    <row r="1014" ht="15.75" customHeight="1">
      <c r="E1014" s="72"/>
      <c r="F1014" s="73"/>
    </row>
    <row r="1015" ht="15.75" customHeight="1">
      <c r="E1015" s="72"/>
      <c r="F1015" s="73"/>
    </row>
    <row r="1016" ht="15.75" customHeight="1">
      <c r="E1016" s="72"/>
      <c r="F1016" s="73"/>
    </row>
    <row r="1017" ht="15.75" customHeight="1">
      <c r="E1017" s="72"/>
      <c r="F1017" s="73"/>
    </row>
    <row r="1018" ht="15.75" customHeight="1">
      <c r="E1018" s="72"/>
      <c r="F1018" s="73"/>
    </row>
    <row r="1019" ht="15.75" customHeight="1">
      <c r="E1019" s="72"/>
      <c r="F1019" s="73"/>
    </row>
    <row r="1020" ht="15.75" customHeight="1">
      <c r="E1020" s="72"/>
      <c r="F1020" s="73"/>
    </row>
    <row r="1021" ht="15.75" customHeight="1">
      <c r="E1021" s="72"/>
      <c r="F1021" s="73"/>
    </row>
    <row r="1022" ht="15.75" customHeight="1">
      <c r="E1022" s="72"/>
      <c r="F1022" s="73"/>
    </row>
    <row r="1023" ht="15.75" customHeight="1">
      <c r="E1023" s="72"/>
      <c r="F1023" s="73"/>
    </row>
    <row r="1024" ht="15.75" customHeight="1">
      <c r="E1024" s="72"/>
      <c r="F1024" s="73"/>
    </row>
    <row r="1025" ht="15.75" customHeight="1">
      <c r="E1025" s="72"/>
      <c r="F1025" s="73"/>
    </row>
    <row r="1026" ht="15.75" customHeight="1">
      <c r="E1026" s="72"/>
      <c r="F1026" s="73"/>
    </row>
    <row r="1027" ht="15.75" customHeight="1">
      <c r="E1027" s="72"/>
      <c r="F1027" s="73"/>
    </row>
    <row r="1028" ht="15.75" customHeight="1">
      <c r="E1028" s="72"/>
      <c r="F1028" s="73"/>
    </row>
    <row r="1029" ht="15.75" customHeight="1">
      <c r="E1029" s="72"/>
      <c r="F1029" s="73"/>
    </row>
    <row r="1030" ht="15.75" customHeight="1">
      <c r="E1030" s="72"/>
      <c r="F1030" s="73"/>
    </row>
    <row r="1031" ht="15.75" customHeight="1">
      <c r="E1031" s="72"/>
      <c r="F1031" s="73"/>
    </row>
    <row r="1032" ht="15.75" customHeight="1">
      <c r="E1032" s="72"/>
      <c r="F1032" s="73"/>
    </row>
    <row r="1033" ht="15.75" customHeight="1">
      <c r="E1033" s="72"/>
      <c r="F1033" s="73"/>
    </row>
    <row r="1034" ht="15.75" customHeight="1">
      <c r="E1034" s="72"/>
      <c r="F1034" s="73"/>
    </row>
    <row r="1035" ht="15.75" customHeight="1">
      <c r="E1035" s="72"/>
      <c r="F1035" s="73"/>
    </row>
    <row r="1036" ht="15.75" customHeight="1">
      <c r="E1036" s="72"/>
      <c r="F1036" s="73"/>
    </row>
    <row r="1037" ht="15.75" customHeight="1">
      <c r="E1037" s="72"/>
      <c r="F1037" s="73"/>
    </row>
    <row r="1038" ht="15.75" customHeight="1">
      <c r="E1038" s="72"/>
      <c r="F1038" s="73"/>
    </row>
    <row r="1039" ht="15.75" customHeight="1">
      <c r="E1039" s="72"/>
      <c r="F1039" s="73"/>
    </row>
    <row r="1040" ht="15.75" customHeight="1">
      <c r="E1040" s="72"/>
      <c r="F1040" s="73"/>
    </row>
    <row r="1041" ht="15.75" customHeight="1">
      <c r="E1041" s="72"/>
      <c r="F1041" s="73"/>
    </row>
    <row r="1042" ht="15.75" customHeight="1">
      <c r="E1042" s="72"/>
      <c r="F1042" s="73"/>
    </row>
    <row r="1043" ht="15.75" customHeight="1">
      <c r="E1043" s="72"/>
      <c r="F1043" s="73"/>
    </row>
    <row r="1044" ht="15.75" customHeight="1">
      <c r="E1044" s="72"/>
      <c r="F1044" s="73"/>
    </row>
    <row r="1045" ht="15.75" customHeight="1">
      <c r="E1045" s="72"/>
      <c r="F1045" s="73"/>
    </row>
    <row r="1046" ht="15.75" customHeight="1">
      <c r="E1046" s="72"/>
      <c r="F1046" s="73"/>
    </row>
    <row r="1047" ht="15.75" customHeight="1">
      <c r="E1047" s="72"/>
      <c r="F1047" s="73"/>
    </row>
    <row r="1048" ht="15.75" customHeight="1">
      <c r="E1048" s="72"/>
      <c r="F1048" s="73"/>
    </row>
    <row r="1049" ht="15.75" customHeight="1">
      <c r="E1049" s="72"/>
      <c r="F1049" s="73"/>
    </row>
    <row r="1050" ht="15.75" customHeight="1">
      <c r="E1050" s="72"/>
      <c r="F1050" s="73"/>
    </row>
    <row r="1051" ht="15.75" customHeight="1">
      <c r="E1051" s="72"/>
      <c r="F1051" s="73"/>
    </row>
    <row r="1052" ht="15.75" customHeight="1">
      <c r="E1052" s="72"/>
      <c r="F1052" s="73"/>
    </row>
    <row r="1053" ht="15.75" customHeight="1">
      <c r="E1053" s="72"/>
      <c r="F1053" s="73"/>
    </row>
    <row r="1054" ht="15.75" customHeight="1">
      <c r="E1054" s="72"/>
      <c r="F1054" s="73"/>
    </row>
    <row r="1055" ht="15.75" customHeight="1">
      <c r="E1055" s="72"/>
      <c r="F1055" s="73"/>
    </row>
    <row r="1056" ht="15.75" customHeight="1">
      <c r="E1056" s="72"/>
      <c r="F1056" s="73"/>
    </row>
    <row r="1057" ht="15.75" customHeight="1">
      <c r="E1057" s="72"/>
      <c r="F1057" s="73"/>
    </row>
    <row r="1058" ht="15.75" customHeight="1">
      <c r="E1058" s="72"/>
      <c r="F1058" s="73"/>
    </row>
    <row r="1059" ht="15.75" customHeight="1">
      <c r="E1059" s="72"/>
      <c r="F1059" s="73"/>
    </row>
    <row r="1060" ht="15.75" customHeight="1">
      <c r="E1060" s="72"/>
      <c r="F1060" s="73"/>
    </row>
  </sheetData>
  <conditionalFormatting sqref="B2:B24">
    <cfRule type="expression" dxfId="5" priority="1">
      <formula>"b3&gt;0 "</formula>
    </cfRule>
  </conditionalFormatting>
  <conditionalFormatting sqref="G3:G141">
    <cfRule type="cellIs" dxfId="5" priority="2" operator="greaterThan">
      <formula>0</formula>
    </cfRule>
  </conditionalFormatting>
  <conditionalFormatting sqref="F3:F141">
    <cfRule type="notContainsBlanks" dxfId="5" priority="3">
      <formula>LEN(TRIM(F3))&gt;0</formula>
    </cfRule>
  </conditionalFormatting>
  <dataValidations>
    <dataValidation type="list" allowBlank="1" showErrorMessage="1" sqref="D2:D141">
      <formula1>#REF!</formula1>
    </dataValidation>
    <dataValidation type="custom" allowBlank="1" showDropDown="1" sqref="C2:C141 G2:G141">
      <formula1>AND(ISNUMBER(C2),(NOT(OR(NOT(ISERROR(DATEVALUE(C2))), AND(ISNUMBER(C2), LEFT(CELL("format", C2))="D")))))</formula1>
    </dataValidation>
    <dataValidation allowBlank="1" showDropDown="1" sqref="A2:A141"/>
  </dataValidations>
  <printOptions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26.75"/>
    <col customWidth="1" min="3" max="3" width="44.75"/>
    <col customWidth="1" min="4" max="6" width="12.63"/>
    <col customWidth="1" min="7" max="26" width="14.38"/>
  </cols>
  <sheetData>
    <row r="1" ht="26.25" customHeight="1">
      <c r="A1" s="74"/>
      <c r="B1" s="75" t="s">
        <v>342</v>
      </c>
      <c r="C1" s="76"/>
    </row>
    <row r="2" ht="57.75" customHeight="1">
      <c r="A2" s="77"/>
      <c r="B2" s="78">
        <v>5.0</v>
      </c>
      <c r="C2" s="79"/>
    </row>
    <row r="3" ht="6.0" customHeight="1"/>
    <row r="4" ht="42.75" customHeight="1">
      <c r="B4" s="80" t="str">
        <f t="array" ref="B4">INDEX(Pizze, $B$2,4)</f>
        <v>AGLIO NERO E FUNGHI</v>
      </c>
    </row>
    <row r="5" ht="28.5" customHeight="1">
      <c r="B5" s="81" t="str">
        <f t="array" ref="B5">INDEX(Pizze, $B$2,5)</f>
        <v>-</v>
      </c>
    </row>
    <row r="6" ht="28.5" customHeight="1">
      <c r="B6" s="81" t="str">
        <f t="array" ref="B6">INDEX(Pizze, $B$2,6)</f>
        <v>Fiordilatte</v>
      </c>
    </row>
    <row r="7" ht="28.5" customHeight="1">
      <c r="B7" s="81" t="str">
        <f t="array" ref="B7">INDEX(Pizze, $B$2,7)</f>
        <v>Funghi</v>
      </c>
    </row>
    <row r="8" ht="28.5" customHeight="1">
      <c r="B8" s="81" t="str">
        <f t="array" ref="B8">INDEX(Pizze, $B$2,8)</f>
        <v>Emulsione di aglio nero *</v>
      </c>
    </row>
    <row r="9" ht="28.5" customHeight="1">
      <c r="B9" s="81" t="str">
        <f t="array" ref="B9">INDEX(Pizze, $B$2,9)</f>
        <v>Parmigiano</v>
      </c>
    </row>
    <row r="10" ht="28.5" customHeight="1">
      <c r="B10" s="81" t="str">
        <f t="array" ref="B10">INDEX(Pizze, $B$2,10)</f>
        <v>Prezzemolo</v>
      </c>
    </row>
    <row r="11" ht="28.5" customHeight="1">
      <c r="B11" s="81" t="str">
        <f t="array" ref="B11">INDEX(Pizze, $B$2,11)</f>
        <v>-</v>
      </c>
    </row>
    <row r="12" ht="28.5" customHeight="1">
      <c r="B12" s="81" t="str">
        <f t="array" ref="B12">INDEX(Pizze, $B$2,12)</f>
        <v>-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11:C11"/>
    <mergeCell ref="B12:C12"/>
    <mergeCell ref="B4:C4"/>
    <mergeCell ref="B5:C5"/>
    <mergeCell ref="B6:C6"/>
    <mergeCell ref="B7:C7"/>
    <mergeCell ref="B8:C8"/>
    <mergeCell ref="B9:C9"/>
    <mergeCell ref="B10:C10"/>
  </mergeCells>
  <dataValidations>
    <dataValidation type="list" allowBlank="1" showErrorMessage="1" sqref="B2">
      <formula1>'Ricette dei preparati'!$A$4:$A$23</formula1>
    </dataValidation>
  </dataValidations>
  <hyperlinks>
    <hyperlink r:id="rId1" ref="B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29.63"/>
    <col customWidth="1" min="3" max="3" width="125.38"/>
    <col customWidth="1" min="4" max="4" width="71.25"/>
    <col customWidth="1" min="5" max="5" width="2.0"/>
    <col customWidth="1" min="6" max="24" width="12.63"/>
    <col customWidth="1" min="25" max="27" width="14.38"/>
  </cols>
  <sheetData>
    <row r="1" ht="15.75" customHeight="1">
      <c r="A1" s="82"/>
      <c r="B1" s="83"/>
      <c r="C1" s="83"/>
      <c r="D1" s="83"/>
      <c r="E1" s="84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</row>
    <row r="2" ht="15.75" hidden="1" customHeight="1">
      <c r="A2" s="85" t="s">
        <v>343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</row>
    <row r="3" ht="15.75" hidden="1" customHeight="1">
      <c r="A3" s="86">
        <v>0.0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</row>
    <row r="4" ht="15.75" hidden="1" customHeight="1">
      <c r="A4" s="86">
        <v>1.0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</row>
    <row r="5" ht="15.75" hidden="1" customHeight="1">
      <c r="A5" s="86">
        <v>2.0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</row>
    <row r="6" ht="15.75" hidden="1" customHeight="1">
      <c r="A6" s="86">
        <v>3.0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</row>
    <row r="7" ht="15.75" hidden="1" customHeight="1">
      <c r="A7" s="86">
        <v>4.0</v>
      </c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</row>
    <row r="8" ht="15.75" hidden="1" customHeight="1">
      <c r="A8" s="86">
        <v>5.0</v>
      </c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</row>
    <row r="9" ht="15.75" hidden="1" customHeight="1">
      <c r="A9" s="86">
        <v>6.0</v>
      </c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</row>
    <row r="10" ht="15.75" hidden="1" customHeight="1">
      <c r="A10" s="86">
        <v>7.0</v>
      </c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</row>
    <row r="11" ht="15.75" hidden="1" customHeight="1">
      <c r="A11" s="86">
        <v>8.0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</row>
    <row r="12" ht="15.75" hidden="1" customHeight="1">
      <c r="A12" s="86">
        <v>9.0</v>
      </c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</row>
    <row r="13" ht="15.75" hidden="1" customHeight="1">
      <c r="A13" s="86">
        <v>10.0</v>
      </c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</row>
    <row r="14" ht="15.75" hidden="1" customHeight="1">
      <c r="A14" s="86">
        <v>11.0</v>
      </c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</row>
    <row r="15" ht="15.75" hidden="1" customHeight="1">
      <c r="A15" s="86">
        <v>12.0</v>
      </c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</row>
    <row r="16" ht="15.75" hidden="1" customHeight="1">
      <c r="A16" s="86">
        <v>13.0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</row>
    <row r="17" ht="15.75" hidden="1" customHeight="1">
      <c r="A17" s="86">
        <v>14.0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</row>
    <row r="18" ht="15.75" hidden="1" customHeight="1">
      <c r="A18" s="86">
        <v>15.0</v>
      </c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</row>
    <row r="19" ht="15.75" hidden="1" customHeight="1">
      <c r="A19" s="86">
        <v>16.0</v>
      </c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</row>
    <row r="20" ht="15.75" hidden="1" customHeight="1">
      <c r="A20" s="86">
        <v>17.0</v>
      </c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</row>
    <row r="21" ht="15.75" hidden="1" customHeight="1">
      <c r="A21" s="86">
        <v>18.0</v>
      </c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</row>
    <row r="22" ht="15.75" hidden="1" customHeight="1">
      <c r="A22" s="86">
        <v>19.0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</row>
    <row r="23" ht="15.75" hidden="1" customHeight="1">
      <c r="A23" s="86">
        <v>20.0</v>
      </c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</row>
    <row r="24" ht="15.75" hidden="1" customHeight="1">
      <c r="A24" s="83"/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</row>
    <row r="25" ht="15.75" customHeight="1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</row>
    <row r="26" ht="15.75" customHeight="1"/>
    <row r="27" ht="40.5" customHeight="1">
      <c r="B27" s="87" t="s">
        <v>344</v>
      </c>
      <c r="C27" s="88" t="s">
        <v>345</v>
      </c>
      <c r="D27" s="87" t="s">
        <v>346</v>
      </c>
      <c r="F27" s="89" t="s">
        <v>347</v>
      </c>
    </row>
    <row r="28" ht="15.75" customHeight="1">
      <c r="B28" s="90" t="s">
        <v>138</v>
      </c>
      <c r="C28" s="91" t="s">
        <v>348</v>
      </c>
      <c r="D28" s="92" t="s">
        <v>349</v>
      </c>
    </row>
    <row r="29" ht="15.75" customHeight="1">
      <c r="B29" s="93" t="s">
        <v>288</v>
      </c>
      <c r="C29" s="91" t="s">
        <v>350</v>
      </c>
      <c r="D29" s="92" t="s">
        <v>351</v>
      </c>
    </row>
    <row r="30" ht="15.75" customHeight="1">
      <c r="B30" s="90" t="s">
        <v>165</v>
      </c>
      <c r="C30" s="94" t="s">
        <v>352</v>
      </c>
      <c r="D30" s="95" t="s">
        <v>353</v>
      </c>
    </row>
    <row r="31" ht="15.75" customHeight="1">
      <c r="A31" s="37"/>
      <c r="B31" s="93" t="s">
        <v>87</v>
      </c>
      <c r="C31" s="96" t="s">
        <v>354</v>
      </c>
      <c r="D31" s="97" t="s">
        <v>355</v>
      </c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</row>
    <row r="32" ht="15.75" customHeight="1">
      <c r="B32" s="93" t="s">
        <v>45</v>
      </c>
      <c r="C32" s="94" t="s">
        <v>356</v>
      </c>
      <c r="D32" s="95" t="s">
        <v>357</v>
      </c>
    </row>
    <row r="33" ht="15.75" customHeight="1">
      <c r="B33" s="90" t="s">
        <v>72</v>
      </c>
      <c r="C33" s="98" t="s">
        <v>358</v>
      </c>
      <c r="D33" s="95" t="s">
        <v>359</v>
      </c>
    </row>
    <row r="34" ht="15.75" customHeight="1">
      <c r="B34" s="93" t="s">
        <v>286</v>
      </c>
      <c r="C34" s="91" t="s">
        <v>360</v>
      </c>
      <c r="D34" s="92" t="s">
        <v>361</v>
      </c>
    </row>
    <row r="35" ht="15.75" customHeight="1">
      <c r="B35" s="90" t="s">
        <v>156</v>
      </c>
      <c r="C35" s="99" t="s">
        <v>362</v>
      </c>
      <c r="D35" s="92" t="s">
        <v>363</v>
      </c>
    </row>
    <row r="36" ht="15.75" customHeight="1">
      <c r="B36" s="90" t="s">
        <v>169</v>
      </c>
      <c r="C36" s="92" t="s">
        <v>364</v>
      </c>
      <c r="D36" s="92" t="s">
        <v>365</v>
      </c>
    </row>
    <row r="37" ht="15.75" customHeight="1">
      <c r="B37" s="90" t="s">
        <v>188</v>
      </c>
      <c r="C37" s="92" t="s">
        <v>366</v>
      </c>
      <c r="D37" s="92" t="s">
        <v>361</v>
      </c>
    </row>
    <row r="38" ht="15.75" customHeight="1">
      <c r="B38" s="90" t="s">
        <v>191</v>
      </c>
      <c r="C38" s="99" t="s">
        <v>367</v>
      </c>
      <c r="D38" s="92" t="s">
        <v>368</v>
      </c>
    </row>
    <row r="39" ht="15.75" customHeight="1">
      <c r="B39" s="90" t="s">
        <v>54</v>
      </c>
      <c r="C39" s="92" t="s">
        <v>369</v>
      </c>
      <c r="D39" s="92" t="s">
        <v>370</v>
      </c>
    </row>
    <row r="40" ht="15.75" customHeight="1">
      <c r="B40" s="90" t="s">
        <v>195</v>
      </c>
      <c r="C40" s="99" t="s">
        <v>371</v>
      </c>
      <c r="D40" s="92" t="s">
        <v>101</v>
      </c>
    </row>
    <row r="41" ht="15.75" customHeight="1">
      <c r="B41" s="90" t="s">
        <v>118</v>
      </c>
      <c r="C41" s="92" t="s">
        <v>372</v>
      </c>
      <c r="D41" s="92" t="s">
        <v>373</v>
      </c>
    </row>
    <row r="42" ht="15.75" customHeight="1">
      <c r="B42" s="90" t="s">
        <v>62</v>
      </c>
      <c r="C42" s="99" t="s">
        <v>374</v>
      </c>
      <c r="D42" s="92" t="s">
        <v>375</v>
      </c>
    </row>
    <row r="43" ht="15.75" customHeight="1">
      <c r="B43" s="90" t="s">
        <v>198</v>
      </c>
      <c r="C43" s="99" t="s">
        <v>376</v>
      </c>
      <c r="D43" s="92" t="s">
        <v>377</v>
      </c>
    </row>
    <row r="44" ht="15.75" customHeight="1">
      <c r="B44" s="93" t="s">
        <v>287</v>
      </c>
      <c r="C44" s="100" t="s">
        <v>378</v>
      </c>
      <c r="D44" s="101" t="s">
        <v>284</v>
      </c>
    </row>
    <row r="45" ht="15.75" customHeight="1">
      <c r="B45" s="90" t="s">
        <v>32</v>
      </c>
      <c r="C45" s="102" t="s">
        <v>379</v>
      </c>
      <c r="D45" s="103" t="s">
        <v>380</v>
      </c>
    </row>
    <row r="46" ht="15.75" customHeight="1">
      <c r="B46" s="90" t="s">
        <v>148</v>
      </c>
      <c r="C46" s="104" t="s">
        <v>381</v>
      </c>
      <c r="D46" s="104" t="s">
        <v>382</v>
      </c>
    </row>
    <row r="47" ht="15.75" customHeight="1">
      <c r="B47" s="90" t="s">
        <v>41</v>
      </c>
      <c r="C47" s="105" t="s">
        <v>383</v>
      </c>
      <c r="D47" s="106" t="s">
        <v>384</v>
      </c>
    </row>
    <row r="48" ht="15.75" customHeight="1">
      <c r="B48" s="90" t="s">
        <v>314</v>
      </c>
      <c r="C48" s="107" t="s">
        <v>385</v>
      </c>
      <c r="D48" s="107" t="s">
        <v>386</v>
      </c>
    </row>
    <row r="49" ht="15.75" customHeight="1">
      <c r="B49" s="90" t="s">
        <v>291</v>
      </c>
      <c r="C49" s="108" t="s">
        <v>387</v>
      </c>
      <c r="D49" s="107" t="s">
        <v>388</v>
      </c>
    </row>
    <row r="50" ht="15.75" customHeight="1">
      <c r="B50" s="90" t="s">
        <v>96</v>
      </c>
      <c r="C50" s="105" t="s">
        <v>389</v>
      </c>
      <c r="D50" s="107" t="s">
        <v>390</v>
      </c>
    </row>
    <row r="51" ht="15.75" customHeight="1">
      <c r="B51" s="90" t="s">
        <v>152</v>
      </c>
      <c r="C51" s="105" t="s">
        <v>391</v>
      </c>
      <c r="D51" s="107" t="s">
        <v>392</v>
      </c>
    </row>
    <row r="52" ht="15.75" customHeight="1">
      <c r="B52" s="90" t="s">
        <v>144</v>
      </c>
      <c r="C52" s="105" t="s">
        <v>393</v>
      </c>
      <c r="D52" s="107" t="s">
        <v>394</v>
      </c>
    </row>
    <row r="53" ht="15.75" customHeight="1">
      <c r="B53" s="90" t="s">
        <v>58</v>
      </c>
      <c r="C53" s="105" t="s">
        <v>395</v>
      </c>
      <c r="D53" s="107" t="s">
        <v>396</v>
      </c>
    </row>
    <row r="54" ht="15.75" customHeight="1">
      <c r="B54" s="90" t="s">
        <v>107</v>
      </c>
      <c r="C54" s="105" t="s">
        <v>397</v>
      </c>
      <c r="D54" s="107" t="s">
        <v>398</v>
      </c>
    </row>
    <row r="55" ht="15.75" customHeight="1">
      <c r="B55" s="90" t="s">
        <v>86</v>
      </c>
      <c r="C55" s="105" t="s">
        <v>399</v>
      </c>
      <c r="D55" s="107" t="s">
        <v>400</v>
      </c>
    </row>
    <row r="56" ht="15.75" customHeight="1">
      <c r="B56" s="90" t="s">
        <v>81</v>
      </c>
      <c r="C56" s="105" t="s">
        <v>401</v>
      </c>
      <c r="D56" s="107" t="s">
        <v>402</v>
      </c>
    </row>
    <row r="57" ht="15.75" customHeight="1">
      <c r="B57" s="90" t="s">
        <v>255</v>
      </c>
      <c r="C57" s="106" t="s">
        <v>403</v>
      </c>
      <c r="D57" s="107" t="s">
        <v>271</v>
      </c>
    </row>
    <row r="58" ht="15.75" customHeight="1">
      <c r="B58" s="90" t="s">
        <v>205</v>
      </c>
      <c r="C58" s="105" t="s">
        <v>404</v>
      </c>
      <c r="D58" s="107" t="s">
        <v>405</v>
      </c>
    </row>
    <row r="59" ht="15.75" customHeight="1">
      <c r="B59" s="90" t="s">
        <v>49</v>
      </c>
      <c r="C59" s="105" t="s">
        <v>406</v>
      </c>
      <c r="D59" s="107" t="s">
        <v>407</v>
      </c>
    </row>
    <row r="60" ht="15.75" customHeight="1">
      <c r="B60" s="90" t="s">
        <v>216</v>
      </c>
      <c r="C60" s="106" t="s">
        <v>408</v>
      </c>
      <c r="D60" s="107" t="s">
        <v>409</v>
      </c>
    </row>
    <row r="61" ht="15.75" customHeight="1">
      <c r="B61" s="90" t="s">
        <v>182</v>
      </c>
      <c r="C61" s="105" t="s">
        <v>410</v>
      </c>
      <c r="D61" s="107" t="s">
        <v>411</v>
      </c>
    </row>
    <row r="62" ht="15.75" customHeight="1">
      <c r="B62" s="90" t="s">
        <v>212</v>
      </c>
      <c r="C62" s="105" t="s">
        <v>412</v>
      </c>
      <c r="D62" s="107" t="s">
        <v>413</v>
      </c>
    </row>
    <row r="63" ht="15.75" customHeight="1">
      <c r="B63" s="90" t="s">
        <v>194</v>
      </c>
      <c r="C63" s="109" t="s">
        <v>414</v>
      </c>
      <c r="D63" s="107" t="s">
        <v>415</v>
      </c>
    </row>
    <row r="64" ht="15.75" customHeight="1">
      <c r="B64" s="90" t="s">
        <v>181</v>
      </c>
      <c r="C64" s="105" t="s">
        <v>416</v>
      </c>
      <c r="D64" s="107" t="s">
        <v>417</v>
      </c>
    </row>
    <row r="65" ht="15.75" customHeight="1">
      <c r="B65" s="90" t="s">
        <v>244</v>
      </c>
      <c r="C65" s="105" t="s">
        <v>416</v>
      </c>
      <c r="D65" s="107" t="s">
        <v>418</v>
      </c>
    </row>
    <row r="66" ht="15.75" customHeight="1">
      <c r="B66" s="90" t="s">
        <v>82</v>
      </c>
      <c r="C66" s="105" t="s">
        <v>419</v>
      </c>
      <c r="D66" s="107" t="s">
        <v>420</v>
      </c>
    </row>
    <row r="67" ht="15.75" customHeight="1">
      <c r="B67" s="90" t="s">
        <v>91</v>
      </c>
      <c r="C67" s="105" t="s">
        <v>421</v>
      </c>
      <c r="D67" s="107" t="s">
        <v>422</v>
      </c>
    </row>
    <row r="68" ht="15.75" customHeight="1">
      <c r="B68" s="90" t="s">
        <v>92</v>
      </c>
      <c r="C68" s="105" t="s">
        <v>421</v>
      </c>
      <c r="D68" s="107" t="s">
        <v>423</v>
      </c>
    </row>
    <row r="69" ht="15.75" customHeight="1">
      <c r="B69" s="90" t="s">
        <v>78</v>
      </c>
      <c r="C69" s="105" t="s">
        <v>424</v>
      </c>
      <c r="D69" s="107" t="s">
        <v>425</v>
      </c>
    </row>
    <row r="70" ht="15.75" customHeight="1">
      <c r="B70" s="90" t="s">
        <v>82</v>
      </c>
      <c r="C70" s="105" t="s">
        <v>419</v>
      </c>
      <c r="D70" s="107" t="s">
        <v>426</v>
      </c>
    </row>
    <row r="71" ht="15.75" customHeight="1">
      <c r="B71" s="90" t="s">
        <v>219</v>
      </c>
      <c r="C71" s="105" t="s">
        <v>427</v>
      </c>
      <c r="D71" s="107" t="s">
        <v>428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</sheetData>
  <dataValidations>
    <dataValidation type="list" allowBlank="1" showErrorMessage="1" sqref="B28:B71">
      <formula1>#REF!</formula1>
    </dataValidation>
  </dataValidations>
  <hyperlinks>
    <hyperlink r:id="rId1" ref="C30"/>
    <hyperlink r:id="rId2" ref="C31"/>
    <hyperlink r:id="rId3" ref="C32"/>
    <hyperlink r:id="rId4" ref="C33"/>
    <hyperlink r:id="rId5" ref="C35"/>
    <hyperlink r:id="rId6" ref="C38"/>
    <hyperlink r:id="rId7" ref="C40"/>
    <hyperlink r:id="rId8" ref="C42"/>
    <hyperlink r:id="rId9" ref="C43"/>
    <hyperlink r:id="rId10" ref="C45"/>
    <hyperlink r:id="rId11" ref="C47"/>
    <hyperlink r:id="rId12" ref="C49"/>
    <hyperlink r:id="rId13" ref="C50"/>
    <hyperlink r:id="rId14" ref="C51"/>
    <hyperlink r:id="rId15" ref="C52"/>
    <hyperlink r:id="rId16" ref="C53"/>
    <hyperlink r:id="rId17" ref="C54"/>
    <hyperlink r:id="rId18" ref="C55"/>
    <hyperlink r:id="rId19" ref="C56"/>
    <hyperlink r:id="rId20" ref="C58"/>
    <hyperlink r:id="rId21" ref="C59"/>
    <hyperlink r:id="rId22" ref="C61"/>
    <hyperlink r:id="rId23" ref="C62"/>
    <hyperlink r:id="rId24" ref="C64"/>
    <hyperlink r:id="rId25" ref="C65"/>
    <hyperlink r:id="rId26" ref="C66"/>
    <hyperlink r:id="rId27" ref="C67"/>
    <hyperlink r:id="rId28" ref="C68"/>
    <hyperlink r:id="rId29" ref="C69"/>
    <hyperlink r:id="rId30" ref="C70"/>
    <hyperlink r:id="rId31" ref="C71"/>
  </hyperlinks>
  <drawing r:id="rId32"/>
  <tableParts count="1">
    <tablePart r:id="rId3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12.63"/>
    <col customWidth="1" min="3" max="3" width="19.38"/>
    <col customWidth="1" min="4" max="4" width="12.63"/>
    <col customWidth="1" min="5" max="5" width="8.0"/>
    <col customWidth="1" min="6" max="6" width="12.38"/>
    <col customWidth="1" min="7" max="7" width="25.38"/>
    <col customWidth="1" min="8" max="8" width="33.88"/>
    <col customWidth="1" min="9" max="26" width="14.38"/>
  </cols>
  <sheetData>
    <row r="1" ht="33.0" customHeight="1"/>
    <row r="2" ht="15.75" customHeight="1">
      <c r="A2" s="6"/>
      <c r="B2" s="71"/>
      <c r="C2" s="6"/>
      <c r="D2" s="71"/>
    </row>
    <row r="3" ht="15.75" customHeight="1">
      <c r="A3" s="6" t="s">
        <v>429</v>
      </c>
      <c r="B3" s="110">
        <v>3.0</v>
      </c>
      <c r="C3" s="6" t="s">
        <v>430</v>
      </c>
      <c r="D3" s="110">
        <v>260.0</v>
      </c>
    </row>
    <row r="4" ht="8.25" customHeight="1"/>
    <row r="5" ht="15.75" customHeight="1">
      <c r="A5" s="6" t="s">
        <v>431</v>
      </c>
      <c r="B5" s="110">
        <v>75.0</v>
      </c>
      <c r="C5" s="6" t="s">
        <v>432</v>
      </c>
      <c r="D5" s="110">
        <v>50.0</v>
      </c>
    </row>
    <row r="6" ht="7.5" customHeight="1"/>
    <row r="7" ht="15.75" customHeight="1">
      <c r="A7" s="6" t="s">
        <v>433</v>
      </c>
      <c r="B7" s="110">
        <v>40.0</v>
      </c>
      <c r="C7" s="6" t="s">
        <v>434</v>
      </c>
      <c r="D7" s="110">
        <v>6.0</v>
      </c>
    </row>
    <row r="8" ht="8.25" customHeight="1"/>
    <row r="9" ht="15.75" customHeight="1">
      <c r="C9" s="6" t="s">
        <v>435</v>
      </c>
      <c r="D9" s="110">
        <v>20.0</v>
      </c>
    </row>
    <row r="10" ht="15.75" customHeight="1">
      <c r="A10" s="6"/>
      <c r="B10" s="6"/>
    </row>
    <row r="11" ht="15.75" customHeight="1">
      <c r="A11" s="6" t="s">
        <v>436</v>
      </c>
      <c r="B11" s="111">
        <f>(D3*B3)/(170)*100</f>
        <v>458.8235294</v>
      </c>
    </row>
    <row r="12" ht="7.5" customHeight="1"/>
    <row r="13" ht="15.75" customHeight="1">
      <c r="A13" s="6" t="s">
        <v>437</v>
      </c>
      <c r="B13" s="111">
        <f>B11*B5/100</f>
        <v>344.1176471</v>
      </c>
    </row>
    <row r="14" ht="8.25" customHeight="1"/>
    <row r="15" ht="15.75" customHeight="1">
      <c r="A15" s="6" t="s">
        <v>438</v>
      </c>
      <c r="B15" s="111">
        <f>D5/1000*B13</f>
        <v>17.20588235</v>
      </c>
    </row>
    <row r="16" ht="9.0" customHeight="1"/>
    <row r="17" ht="15.75" customHeight="1">
      <c r="A17" s="6" t="s">
        <v>439</v>
      </c>
      <c r="B17" s="112">
        <f>B11*2820*(1+B15/200)/((-80+4.2*B5-0.0305*B5^2)*(D9^2.5)*(D7^1.2))</f>
        <v>1.442227683</v>
      </c>
    </row>
    <row r="18" ht="15.75" customHeight="1"/>
    <row r="19" ht="15.75" customHeight="1">
      <c r="A19" s="113" t="s">
        <v>440</v>
      </c>
      <c r="B19" s="113"/>
      <c r="C19" s="113"/>
      <c r="D19" s="114" t="s">
        <v>441</v>
      </c>
      <c r="E19" s="114" t="s">
        <v>442</v>
      </c>
      <c r="F19" s="114"/>
      <c r="G19" s="113" t="s">
        <v>443</v>
      </c>
      <c r="H19" s="113" t="s">
        <v>444</v>
      </c>
    </row>
    <row r="20" ht="15.75" customHeight="1"/>
    <row r="21" ht="15.75" customHeight="1">
      <c r="A21" s="115" t="s">
        <v>445</v>
      </c>
    </row>
    <row r="22" ht="15.75" customHeight="1">
      <c r="A22" s="6" t="s">
        <v>446</v>
      </c>
      <c r="B22" s="6" t="s">
        <v>447</v>
      </c>
      <c r="D22" s="116">
        <v>0.5</v>
      </c>
      <c r="E22" s="117"/>
      <c r="F22" s="111">
        <f>$B$11*D22</f>
        <v>229.4117647</v>
      </c>
      <c r="G22" s="118" t="s">
        <v>448</v>
      </c>
      <c r="H22" s="6" t="s">
        <v>449</v>
      </c>
    </row>
    <row r="23" ht="18.75" customHeight="1">
      <c r="A23" s="6"/>
      <c r="B23" s="6" t="s">
        <v>450</v>
      </c>
      <c r="C23" s="118" t="s">
        <v>451</v>
      </c>
      <c r="D23" s="116"/>
      <c r="E23" s="119">
        <v>0.5</v>
      </c>
      <c r="F23" s="111">
        <f>F22*E23</f>
        <v>114.7058824</v>
      </c>
    </row>
    <row r="24" ht="18.75" customHeight="1">
      <c r="A24" s="115"/>
      <c r="B24" s="6" t="s">
        <v>452</v>
      </c>
      <c r="D24" s="116"/>
      <c r="E24" s="116"/>
      <c r="F24" s="120">
        <f>B17</f>
        <v>1.442227683</v>
      </c>
      <c r="G24" s="118"/>
    </row>
    <row r="25" ht="18.75" customHeight="1">
      <c r="A25" s="115"/>
      <c r="B25" s="6"/>
      <c r="D25" s="116"/>
      <c r="E25" s="116"/>
      <c r="F25" s="116"/>
      <c r="G25" s="118"/>
    </row>
    <row r="26" ht="18.75" customHeight="1">
      <c r="A26" s="115" t="s">
        <v>453</v>
      </c>
      <c r="B26" s="6"/>
      <c r="D26" s="116"/>
      <c r="E26" s="116"/>
      <c r="F26" s="116"/>
      <c r="G26" s="118"/>
    </row>
    <row r="27" ht="32.25" customHeight="1">
      <c r="A27" s="6" t="s">
        <v>454</v>
      </c>
      <c r="B27" s="6" t="s">
        <v>455</v>
      </c>
      <c r="D27" s="116">
        <v>0.5</v>
      </c>
      <c r="E27" s="117"/>
      <c r="F27" s="111">
        <f>$B$11*D27</f>
        <v>229.4117647</v>
      </c>
      <c r="G27" s="118" t="s">
        <v>456</v>
      </c>
      <c r="H27" s="6" t="s">
        <v>457</v>
      </c>
    </row>
    <row r="28" ht="15.75" customHeight="1">
      <c r="A28" s="6"/>
      <c r="B28" s="6" t="s">
        <v>450</v>
      </c>
      <c r="C28" s="118" t="s">
        <v>458</v>
      </c>
      <c r="D28" s="116"/>
      <c r="E28" s="119">
        <v>0.5</v>
      </c>
      <c r="F28" s="111">
        <f>F27*E28</f>
        <v>114.7058824</v>
      </c>
      <c r="H28" s="6"/>
    </row>
    <row r="29" ht="15.75" customHeight="1">
      <c r="A29" s="6"/>
      <c r="B29" s="6"/>
      <c r="D29" s="46"/>
      <c r="E29" s="117"/>
      <c r="F29" s="117"/>
      <c r="G29" s="118"/>
      <c r="H29" s="6"/>
    </row>
    <row r="30" ht="15.75" customHeight="1">
      <c r="A30" s="6" t="s">
        <v>459</v>
      </c>
      <c r="B30" s="6" t="s">
        <v>460</v>
      </c>
      <c r="D30" s="46"/>
      <c r="E30" s="117"/>
      <c r="F30" s="117"/>
      <c r="G30" s="118" t="s">
        <v>461</v>
      </c>
      <c r="H30" s="6" t="s">
        <v>462</v>
      </c>
    </row>
    <row r="31" ht="15.75" customHeight="1">
      <c r="A31" s="6"/>
      <c r="B31" s="6" t="s">
        <v>463</v>
      </c>
      <c r="C31" s="6" t="s">
        <v>458</v>
      </c>
      <c r="D31" s="121"/>
      <c r="E31" s="116">
        <v>0.1</v>
      </c>
      <c r="F31" s="111">
        <f t="shared" ref="F31:F32" si="1">$B$11*E31</f>
        <v>45.88235294</v>
      </c>
      <c r="H31" s="6"/>
    </row>
    <row r="32" ht="15.75" customHeight="1">
      <c r="A32" s="6"/>
      <c r="B32" s="6" t="s">
        <v>464</v>
      </c>
      <c r="C32" s="6" t="s">
        <v>458</v>
      </c>
      <c r="E32" s="116">
        <f>($B$5-50-10)/100</f>
        <v>0.15</v>
      </c>
      <c r="F32" s="111">
        <f t="shared" si="1"/>
        <v>68.82352941</v>
      </c>
      <c r="G32" s="6" t="s">
        <v>465</v>
      </c>
      <c r="H32" s="6"/>
    </row>
    <row r="33" ht="15.75" customHeight="1">
      <c r="A33" s="6"/>
      <c r="B33" s="6" t="s">
        <v>466</v>
      </c>
      <c r="F33" s="111">
        <f>B15</f>
        <v>17.20588235</v>
      </c>
      <c r="G33" s="6" t="s">
        <v>467</v>
      </c>
      <c r="H33" s="6"/>
    </row>
    <row r="34" ht="15.75" customHeight="1">
      <c r="A34" s="6"/>
      <c r="G34" s="6"/>
      <c r="H34" s="6"/>
    </row>
    <row r="35" ht="15.75" customHeight="1">
      <c r="A35" s="6" t="s">
        <v>468</v>
      </c>
      <c r="G35" s="6" t="s">
        <v>469</v>
      </c>
      <c r="H35" s="6" t="s">
        <v>470</v>
      </c>
    </row>
    <row r="36" ht="15.75" customHeight="1"/>
    <row r="37" ht="15.75" customHeight="1">
      <c r="A37" s="113" t="s">
        <v>471</v>
      </c>
      <c r="B37" s="113"/>
      <c r="C37" s="113"/>
      <c r="D37" s="113"/>
      <c r="E37" s="113"/>
      <c r="F37" s="113"/>
      <c r="G37" s="113"/>
      <c r="H37" s="113"/>
    </row>
    <row r="38" ht="15.75" customHeight="1"/>
    <row r="39" ht="15.75" customHeight="1">
      <c r="A39" s="115" t="s">
        <v>472</v>
      </c>
      <c r="B39" s="6"/>
      <c r="E39" s="116"/>
      <c r="F39" s="6"/>
      <c r="G39" s="6"/>
      <c r="H39" s="6"/>
    </row>
    <row r="40" ht="15.75" customHeight="1">
      <c r="A40" s="6"/>
      <c r="B40" s="6"/>
      <c r="E40" s="116"/>
      <c r="F40" s="6"/>
      <c r="G40" s="6"/>
      <c r="H40" s="6"/>
    </row>
    <row r="41" ht="15.75" customHeight="1">
      <c r="A41" s="6" t="s">
        <v>471</v>
      </c>
      <c r="B41" s="6" t="s">
        <v>447</v>
      </c>
      <c r="D41" s="116">
        <v>0.4</v>
      </c>
      <c r="F41" s="111">
        <f>$B$11*D41</f>
        <v>183.5294118</v>
      </c>
      <c r="G41" s="6" t="s">
        <v>473</v>
      </c>
      <c r="H41" s="6" t="s">
        <v>474</v>
      </c>
    </row>
    <row r="42" ht="15.75" customHeight="1">
      <c r="B42" s="6" t="s">
        <v>450</v>
      </c>
      <c r="F42" s="111">
        <f>F41</f>
        <v>183.5294118</v>
      </c>
    </row>
    <row r="43" ht="15.75" customHeight="1">
      <c r="B43" s="6" t="s">
        <v>452</v>
      </c>
      <c r="F43" s="120">
        <f>F42/100</f>
        <v>1.835294118</v>
      </c>
    </row>
    <row r="44" ht="15.75" customHeight="1"/>
    <row r="45" ht="15.75" customHeight="1">
      <c r="A45" s="115" t="s">
        <v>475</v>
      </c>
      <c r="B45" s="6"/>
      <c r="G45" s="6"/>
      <c r="H45" s="6"/>
    </row>
    <row r="46" ht="15.75" customHeight="1">
      <c r="A46" s="6"/>
      <c r="B46" s="6"/>
      <c r="G46" s="6"/>
      <c r="H46" s="6"/>
    </row>
    <row r="47" ht="15.75" customHeight="1">
      <c r="A47" s="6" t="s">
        <v>459</v>
      </c>
      <c r="B47" s="6" t="s">
        <v>476</v>
      </c>
      <c r="G47" s="6" t="s">
        <v>477</v>
      </c>
      <c r="H47" s="6" t="s">
        <v>457</v>
      </c>
    </row>
    <row r="48" ht="15.75" customHeight="1">
      <c r="B48" s="6" t="s">
        <v>478</v>
      </c>
      <c r="F48" s="111">
        <f>$B$11-F41</f>
        <v>275.2941176</v>
      </c>
    </row>
    <row r="49" ht="15.75" customHeight="1">
      <c r="B49" s="6" t="s">
        <v>450</v>
      </c>
      <c r="C49" s="6" t="s">
        <v>458</v>
      </c>
      <c r="F49" s="111">
        <f>$B$13-F42</f>
        <v>160.5882353</v>
      </c>
    </row>
    <row r="50" ht="15.75" customHeight="1">
      <c r="B50" s="6" t="s">
        <v>466</v>
      </c>
      <c r="F50" s="111">
        <f>B15</f>
        <v>17.20588235</v>
      </c>
      <c r="G50" s="6" t="s">
        <v>467</v>
      </c>
    </row>
    <row r="51" ht="15.75" customHeight="1"/>
    <row r="52" ht="15.75" customHeight="1">
      <c r="A52" s="6" t="s">
        <v>468</v>
      </c>
      <c r="G52" s="6" t="s">
        <v>469</v>
      </c>
      <c r="H52" s="6" t="s">
        <v>479</v>
      </c>
    </row>
    <row r="53" ht="15.75" customHeight="1"/>
    <row r="54" ht="15.75" customHeight="1"/>
    <row r="55" ht="15.75" customHeight="1">
      <c r="A55" s="113" t="s">
        <v>480</v>
      </c>
      <c r="B55" s="113"/>
      <c r="C55" s="113"/>
      <c r="D55" s="113"/>
      <c r="E55" s="113"/>
      <c r="F55" s="113"/>
      <c r="G55" s="113"/>
      <c r="H55" s="113"/>
    </row>
    <row r="56" ht="15.75" customHeight="1">
      <c r="A56" s="6" t="s">
        <v>481</v>
      </c>
      <c r="B56" s="6"/>
      <c r="C56" s="6" t="s">
        <v>482</v>
      </c>
    </row>
    <row r="57" ht="15.75" customHeight="1">
      <c r="A57" s="6" t="s">
        <v>483</v>
      </c>
      <c r="B57" s="6"/>
      <c r="C57" s="6" t="s">
        <v>484</v>
      </c>
      <c r="D57" s="6" t="s">
        <v>485</v>
      </c>
    </row>
    <row r="58" ht="15.75" customHeight="1">
      <c r="A58" s="6" t="s">
        <v>486</v>
      </c>
      <c r="B58" s="6"/>
      <c r="C58" s="6" t="s">
        <v>487</v>
      </c>
      <c r="D58" s="6" t="s">
        <v>485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6.38"/>
    <col customWidth="1" min="3" max="5" width="8.75"/>
  </cols>
  <sheetData>
    <row r="1">
      <c r="A1" s="122" t="s">
        <v>8</v>
      </c>
      <c r="B1" s="122" t="s">
        <v>488</v>
      </c>
    </row>
    <row r="2">
      <c r="A2" s="122" t="s">
        <v>71</v>
      </c>
      <c r="B2" s="123">
        <v>9.0</v>
      </c>
    </row>
    <row r="3">
      <c r="A3" s="122" t="s">
        <v>150</v>
      </c>
      <c r="B3" s="123">
        <v>7.0</v>
      </c>
    </row>
    <row r="4">
      <c r="A4" s="122" t="s">
        <v>193</v>
      </c>
      <c r="B4" s="123">
        <v>7.0</v>
      </c>
    </row>
    <row r="5">
      <c r="A5" s="122" t="s">
        <v>23</v>
      </c>
      <c r="B5" s="123">
        <v>6.0</v>
      </c>
    </row>
    <row r="6">
      <c r="A6" s="122" t="s">
        <v>38</v>
      </c>
      <c r="B6" s="123">
        <v>4.0</v>
      </c>
    </row>
    <row r="7">
      <c r="A7" s="122" t="s">
        <v>57</v>
      </c>
      <c r="B7" s="123">
        <v>2.0</v>
      </c>
    </row>
    <row r="8">
      <c r="A8" s="122" t="s">
        <v>102</v>
      </c>
      <c r="B8" s="123">
        <v>2.0</v>
      </c>
    </row>
    <row r="9">
      <c r="A9" s="122" t="s">
        <v>137</v>
      </c>
      <c r="B9" s="123">
        <v>2.0</v>
      </c>
    </row>
    <row r="10">
      <c r="A10" s="122" t="s">
        <v>140</v>
      </c>
      <c r="B10" s="123">
        <v>2.0</v>
      </c>
    </row>
    <row r="11">
      <c r="A11" s="122" t="s">
        <v>161</v>
      </c>
      <c r="B11" s="123">
        <v>2.0</v>
      </c>
    </row>
    <row r="12">
      <c r="A12" s="122" t="s">
        <v>178</v>
      </c>
      <c r="B12" s="123">
        <v>2.0</v>
      </c>
    </row>
    <row r="13">
      <c r="A13" s="122" t="s">
        <v>44</v>
      </c>
      <c r="B13" s="123">
        <v>2.0</v>
      </c>
    </row>
    <row r="14">
      <c r="A14" s="122" t="s">
        <v>187</v>
      </c>
      <c r="B14" s="123">
        <v>2.0</v>
      </c>
    </row>
    <row r="15">
      <c r="A15" s="122" t="s">
        <v>190</v>
      </c>
      <c r="B15" s="123">
        <v>2.0</v>
      </c>
    </row>
    <row r="16">
      <c r="A16" s="122" t="s">
        <v>65</v>
      </c>
      <c r="B16" s="123">
        <v>2.0</v>
      </c>
    </row>
    <row r="17">
      <c r="A17" s="122" t="s">
        <v>200</v>
      </c>
      <c r="B17" s="123">
        <v>2.0</v>
      </c>
    </row>
    <row r="18">
      <c r="A18" s="122" t="s">
        <v>61</v>
      </c>
      <c r="B18" s="123">
        <v>1.0</v>
      </c>
    </row>
    <row r="19">
      <c r="A19" s="122" t="s">
        <v>112</v>
      </c>
      <c r="B19" s="123">
        <v>1.0</v>
      </c>
    </row>
    <row r="20">
      <c r="A20" s="122" t="s">
        <v>116</v>
      </c>
      <c r="B20" s="123">
        <v>1.0</v>
      </c>
    </row>
    <row r="21">
      <c r="A21" s="122" t="s">
        <v>121</v>
      </c>
      <c r="B21" s="123">
        <v>1.0</v>
      </c>
    </row>
    <row r="22">
      <c r="A22" s="122" t="s">
        <v>124</v>
      </c>
      <c r="B22" s="123">
        <v>1.0</v>
      </c>
    </row>
    <row r="23">
      <c r="A23" s="122" t="s">
        <v>128</v>
      </c>
      <c r="B23" s="123">
        <v>1.0</v>
      </c>
    </row>
    <row r="24">
      <c r="A24" s="122" t="s">
        <v>143</v>
      </c>
      <c r="B24" s="123">
        <v>1.0</v>
      </c>
    </row>
    <row r="25">
      <c r="A25" s="122" t="s">
        <v>147</v>
      </c>
      <c r="B25" s="123">
        <v>1.0</v>
      </c>
    </row>
    <row r="26">
      <c r="A26" s="122" t="s">
        <v>154</v>
      </c>
      <c r="B26" s="123">
        <v>1.0</v>
      </c>
    </row>
    <row r="27">
      <c r="A27" s="122" t="s">
        <v>51</v>
      </c>
      <c r="B27" s="123">
        <v>1.0</v>
      </c>
    </row>
    <row r="28">
      <c r="A28" s="122" t="s">
        <v>158</v>
      </c>
      <c r="B28" s="123">
        <v>1.0</v>
      </c>
    </row>
    <row r="29">
      <c r="A29" s="122" t="s">
        <v>163</v>
      </c>
      <c r="B29" s="123">
        <v>1.0</v>
      </c>
    </row>
    <row r="30">
      <c r="A30" s="122" t="s">
        <v>168</v>
      </c>
      <c r="B30" s="123">
        <v>1.0</v>
      </c>
    </row>
    <row r="31">
      <c r="A31" s="122" t="s">
        <v>174</v>
      </c>
      <c r="B31" s="123">
        <v>1.0</v>
      </c>
    </row>
    <row r="32">
      <c r="A32" s="122" t="s">
        <v>176</v>
      </c>
      <c r="B32" s="123">
        <v>1.0</v>
      </c>
    </row>
    <row r="33">
      <c r="A33" s="122" t="s">
        <v>180</v>
      </c>
      <c r="B33" s="123">
        <v>1.0</v>
      </c>
    </row>
    <row r="34">
      <c r="A34" s="122" t="s">
        <v>204</v>
      </c>
      <c r="B34" s="123">
        <v>1.0</v>
      </c>
    </row>
    <row r="35">
      <c r="A35" s="122" t="s">
        <v>208</v>
      </c>
      <c r="B35" s="123">
        <v>1.0</v>
      </c>
    </row>
    <row r="36">
      <c r="A36" s="122" t="s">
        <v>211</v>
      </c>
      <c r="B36" s="123">
        <v>1.0</v>
      </c>
    </row>
    <row r="37">
      <c r="A37" s="122" t="s">
        <v>215</v>
      </c>
      <c r="B37" s="123">
        <v>1.0</v>
      </c>
    </row>
    <row r="38">
      <c r="A38" s="122" t="s">
        <v>218</v>
      </c>
      <c r="B38" s="123">
        <v>1.0</v>
      </c>
    </row>
    <row r="39">
      <c r="A39" s="122" t="s">
        <v>221</v>
      </c>
      <c r="B39" s="123">
        <v>1.0</v>
      </c>
    </row>
    <row r="40">
      <c r="A40" s="122" t="s">
        <v>228</v>
      </c>
      <c r="B40" s="123">
        <v>1.0</v>
      </c>
    </row>
    <row r="41">
      <c r="A41" s="122" t="s">
        <v>235</v>
      </c>
      <c r="B41" s="123">
        <v>1.0</v>
      </c>
    </row>
    <row r="42">
      <c r="A42" s="122" t="s">
        <v>237</v>
      </c>
      <c r="B42" s="123">
        <v>1.0</v>
      </c>
    </row>
    <row r="43">
      <c r="A43" s="122" t="s">
        <v>94</v>
      </c>
      <c r="B43" s="123">
        <v>1.0</v>
      </c>
    </row>
    <row r="44">
      <c r="A44" s="122" t="s">
        <v>289</v>
      </c>
      <c r="B44" s="123">
        <v>1.0</v>
      </c>
    </row>
    <row r="45">
      <c r="A45" s="122" t="s">
        <v>302</v>
      </c>
      <c r="B45" s="123">
        <v>1.0</v>
      </c>
    </row>
    <row r="46">
      <c r="A46" s="122" t="s">
        <v>313</v>
      </c>
      <c r="B46" s="123">
        <v>1.0</v>
      </c>
    </row>
    <row r="47">
      <c r="A47" s="122" t="s">
        <v>132</v>
      </c>
      <c r="B47" s="123">
        <v>0.0</v>
      </c>
    </row>
    <row r="48">
      <c r="A48" s="122" t="s">
        <v>134</v>
      </c>
      <c r="B48" s="123">
        <v>0.0</v>
      </c>
    </row>
    <row r="49">
      <c r="A49" s="122" t="s">
        <v>184</v>
      </c>
      <c r="B49" s="123">
        <v>0.0</v>
      </c>
    </row>
    <row r="50">
      <c r="A50" s="122" t="s">
        <v>31</v>
      </c>
      <c r="B50" s="123">
        <v>0.0</v>
      </c>
    </row>
    <row r="51">
      <c r="A51" s="122" t="s">
        <v>197</v>
      </c>
      <c r="B51" s="123">
        <v>0.0</v>
      </c>
    </row>
    <row r="52">
      <c r="A52" s="122" t="s">
        <v>223</v>
      </c>
      <c r="B52" s="123">
        <v>0.0</v>
      </c>
    </row>
    <row r="53">
      <c r="A53" s="122" t="s">
        <v>225</v>
      </c>
      <c r="B53" s="123">
        <v>0.0</v>
      </c>
    </row>
    <row r="54">
      <c r="A54" s="122" t="s">
        <v>226</v>
      </c>
      <c r="B54" s="123">
        <v>0.0</v>
      </c>
    </row>
    <row r="55">
      <c r="A55" s="122" t="s">
        <v>230</v>
      </c>
      <c r="B55" s="123">
        <v>0.0</v>
      </c>
    </row>
    <row r="56">
      <c r="A56" s="122" t="s">
        <v>232</v>
      </c>
      <c r="B56" s="123">
        <v>0.0</v>
      </c>
    </row>
    <row r="57">
      <c r="A57" s="122" t="s">
        <v>234</v>
      </c>
      <c r="B57" s="123">
        <v>0.0</v>
      </c>
    </row>
    <row r="58">
      <c r="A58" s="122" t="s">
        <v>236</v>
      </c>
      <c r="B58" s="123">
        <v>0.0</v>
      </c>
    </row>
    <row r="59">
      <c r="A59" s="122" t="s">
        <v>240</v>
      </c>
      <c r="B59" s="123">
        <v>0.0</v>
      </c>
    </row>
    <row r="60">
      <c r="A60" s="122" t="s">
        <v>241</v>
      </c>
      <c r="B60" s="123">
        <v>0.0</v>
      </c>
    </row>
    <row r="61">
      <c r="A61" s="122" t="s">
        <v>242</v>
      </c>
      <c r="B61" s="123">
        <v>0.0</v>
      </c>
    </row>
    <row r="62">
      <c r="A62" s="122" t="s">
        <v>245</v>
      </c>
      <c r="B62" s="123">
        <v>0.0</v>
      </c>
    </row>
    <row r="63">
      <c r="A63" s="122" t="s">
        <v>246</v>
      </c>
      <c r="B63" s="123">
        <v>0.0</v>
      </c>
    </row>
    <row r="64">
      <c r="A64" s="122" t="s">
        <v>250</v>
      </c>
      <c r="B64" s="123">
        <v>0.0</v>
      </c>
    </row>
    <row r="65">
      <c r="A65" s="122" t="s">
        <v>251</v>
      </c>
      <c r="B65" s="123">
        <v>0.0</v>
      </c>
    </row>
    <row r="66">
      <c r="A66" s="122" t="s">
        <v>254</v>
      </c>
      <c r="B66" s="123">
        <v>0.0</v>
      </c>
    </row>
    <row r="67">
      <c r="A67" s="122" t="s">
        <v>256</v>
      </c>
      <c r="B67" s="123">
        <v>0.0</v>
      </c>
    </row>
    <row r="68">
      <c r="A68" s="122" t="s">
        <v>257</v>
      </c>
      <c r="B68" s="123">
        <v>0.0</v>
      </c>
    </row>
    <row r="69">
      <c r="A69" s="122" t="s">
        <v>259</v>
      </c>
      <c r="B69" s="123">
        <v>0.0</v>
      </c>
    </row>
    <row r="70">
      <c r="A70" s="122" t="s">
        <v>99</v>
      </c>
      <c r="B70" s="123">
        <v>0.0</v>
      </c>
    </row>
    <row r="71">
      <c r="A71" s="122" t="s">
        <v>261</v>
      </c>
      <c r="B71" s="123">
        <v>0.0</v>
      </c>
    </row>
    <row r="72">
      <c r="A72" s="122" t="s">
        <v>262</v>
      </c>
      <c r="B72" s="123">
        <v>0.0</v>
      </c>
    </row>
    <row r="73">
      <c r="A73" s="122" t="s">
        <v>264</v>
      </c>
      <c r="B73" s="123">
        <v>0.0</v>
      </c>
    </row>
    <row r="74">
      <c r="A74" s="122" t="s">
        <v>265</v>
      </c>
      <c r="B74" s="123">
        <v>0.0</v>
      </c>
    </row>
    <row r="75">
      <c r="A75" s="122" t="s">
        <v>267</v>
      </c>
      <c r="B75" s="123">
        <v>0.0</v>
      </c>
    </row>
    <row r="76">
      <c r="A76" s="122" t="s">
        <v>268</v>
      </c>
      <c r="B76" s="123">
        <v>0.0</v>
      </c>
    </row>
    <row r="77">
      <c r="A77" s="122" t="s">
        <v>269</v>
      </c>
      <c r="B77" s="123">
        <v>0.0</v>
      </c>
    </row>
    <row r="78">
      <c r="A78" s="122" t="s">
        <v>270</v>
      </c>
      <c r="B78" s="123">
        <v>0.0</v>
      </c>
    </row>
    <row r="79">
      <c r="A79" s="122" t="s">
        <v>273</v>
      </c>
      <c r="B79" s="123">
        <v>0.0</v>
      </c>
    </row>
    <row r="80">
      <c r="A80" s="122" t="s">
        <v>275</v>
      </c>
      <c r="B80" s="123">
        <v>0.0</v>
      </c>
    </row>
    <row r="81">
      <c r="A81" s="122" t="s">
        <v>276</v>
      </c>
      <c r="B81" s="123">
        <v>0.0</v>
      </c>
    </row>
    <row r="82">
      <c r="A82" s="122" t="s">
        <v>278</v>
      </c>
      <c r="B82" s="123">
        <v>0.0</v>
      </c>
    </row>
    <row r="83">
      <c r="A83" s="122" t="s">
        <v>281</v>
      </c>
      <c r="B83" s="123">
        <v>0.0</v>
      </c>
    </row>
    <row r="84">
      <c r="A84" s="122" t="s">
        <v>283</v>
      </c>
      <c r="B84" s="123">
        <v>0.0</v>
      </c>
    </row>
    <row r="85">
      <c r="A85" s="122" t="s">
        <v>285</v>
      </c>
      <c r="B85" s="123">
        <v>0.0</v>
      </c>
    </row>
    <row r="86">
      <c r="A86" s="122" t="s">
        <v>292</v>
      </c>
      <c r="B86" s="123">
        <v>0.0</v>
      </c>
    </row>
    <row r="87">
      <c r="A87" s="122" t="s">
        <v>293</v>
      </c>
      <c r="B87" s="123">
        <v>0.0</v>
      </c>
    </row>
    <row r="88">
      <c r="A88" s="122" t="s">
        <v>297</v>
      </c>
      <c r="B88" s="123">
        <v>0.0</v>
      </c>
    </row>
    <row r="89">
      <c r="A89" s="122" t="s">
        <v>298</v>
      </c>
      <c r="B89" s="123">
        <v>0.0</v>
      </c>
    </row>
    <row r="90">
      <c r="A90" s="122" t="s">
        <v>300</v>
      </c>
      <c r="B90" s="123">
        <v>0.0</v>
      </c>
    </row>
    <row r="91">
      <c r="A91" s="122" t="s">
        <v>303</v>
      </c>
      <c r="B91" s="123">
        <v>0.0</v>
      </c>
    </row>
    <row r="92">
      <c r="A92" s="122" t="s">
        <v>304</v>
      </c>
      <c r="B92" s="123">
        <v>0.0</v>
      </c>
    </row>
    <row r="93">
      <c r="A93" s="122" t="s">
        <v>306</v>
      </c>
      <c r="B93" s="123">
        <v>0.0</v>
      </c>
    </row>
    <row r="94">
      <c r="A94" s="122" t="s">
        <v>307</v>
      </c>
      <c r="B94" s="123">
        <v>0.0</v>
      </c>
    </row>
    <row r="95">
      <c r="A95" s="122" t="s">
        <v>97</v>
      </c>
      <c r="B95" s="123">
        <v>0.0</v>
      </c>
    </row>
    <row r="96">
      <c r="A96" s="122" t="s">
        <v>110</v>
      </c>
      <c r="B96" s="123">
        <v>0.0</v>
      </c>
    </row>
    <row r="97">
      <c r="A97" s="122" t="s">
        <v>308</v>
      </c>
      <c r="B97" s="123">
        <v>0.0</v>
      </c>
    </row>
    <row r="98">
      <c r="A98" s="122" t="s">
        <v>309</v>
      </c>
      <c r="B98" s="123">
        <v>0.0</v>
      </c>
    </row>
    <row r="99">
      <c r="A99" s="122" t="s">
        <v>311</v>
      </c>
      <c r="B99" s="123">
        <v>0.0</v>
      </c>
    </row>
    <row r="100">
      <c r="A100" s="122" t="s">
        <v>315</v>
      </c>
      <c r="B100" s="123">
        <v>0.0</v>
      </c>
    </row>
    <row r="101">
      <c r="A101" s="122" t="s">
        <v>317</v>
      </c>
      <c r="B101" s="123">
        <v>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24.0"/>
    <col customWidth="1" min="4" max="4" width="22.88"/>
  </cols>
  <sheetData>
    <row r="1">
      <c r="A1" s="124"/>
      <c r="B1" s="2"/>
      <c r="D1" s="122" t="s">
        <v>489</v>
      </c>
    </row>
    <row r="2">
      <c r="A2" s="124"/>
      <c r="B2" s="2"/>
      <c r="D2" s="122"/>
    </row>
    <row r="3">
      <c r="A3" s="124"/>
      <c r="B3" s="2" t="s">
        <v>8</v>
      </c>
    </row>
    <row r="4">
      <c r="A4" s="125"/>
      <c r="B4" s="126" t="s">
        <v>38</v>
      </c>
    </row>
    <row r="5">
      <c r="A5" s="125"/>
      <c r="B5" s="126" t="s">
        <v>240</v>
      </c>
    </row>
    <row r="6">
      <c r="A6" s="125"/>
      <c r="B6" s="126" t="s">
        <v>137</v>
      </c>
    </row>
    <row r="7">
      <c r="A7" s="125"/>
      <c r="B7" s="126" t="s">
        <v>163</v>
      </c>
    </row>
    <row r="8">
      <c r="A8" s="125"/>
      <c r="B8" s="126" t="s">
        <v>94</v>
      </c>
    </row>
    <row r="9">
      <c r="A9" s="127"/>
      <c r="B9" s="126" t="s">
        <v>140</v>
      </c>
    </row>
    <row r="10">
      <c r="A10" s="127"/>
      <c r="B10" s="126" t="s">
        <v>241</v>
      </c>
    </row>
    <row r="11">
      <c r="A11" s="125"/>
      <c r="B11" s="126" t="s">
        <v>221</v>
      </c>
    </row>
    <row r="12">
      <c r="A12" s="125"/>
      <c r="B12" s="126" t="s">
        <v>245</v>
      </c>
    </row>
    <row r="13">
      <c r="A13" s="125"/>
      <c r="B13" s="126" t="s">
        <v>490</v>
      </c>
    </row>
    <row r="14">
      <c r="A14" s="127"/>
      <c r="B14" s="126" t="s">
        <v>246</v>
      </c>
    </row>
    <row r="15">
      <c r="A15" s="127"/>
      <c r="B15" s="126" t="s">
        <v>230</v>
      </c>
    </row>
    <row r="16">
      <c r="A16" s="125"/>
      <c r="B16" s="126" t="s">
        <v>250</v>
      </c>
    </row>
    <row r="17">
      <c r="A17" s="127"/>
      <c r="B17" s="126" t="s">
        <v>251</v>
      </c>
    </row>
    <row r="18">
      <c r="A18" s="127"/>
      <c r="B18" s="126" t="s">
        <v>232</v>
      </c>
    </row>
    <row r="19">
      <c r="A19" s="127"/>
      <c r="B19" s="126" t="s">
        <v>256</v>
      </c>
    </row>
    <row r="20">
      <c r="A20" s="127"/>
      <c r="B20" s="126" t="s">
        <v>234</v>
      </c>
    </row>
    <row r="21">
      <c r="A21" s="125"/>
      <c r="B21" s="126" t="s">
        <v>178</v>
      </c>
    </row>
    <row r="22">
      <c r="A22" s="127"/>
      <c r="B22" s="126" t="s">
        <v>257</v>
      </c>
    </row>
    <row r="23">
      <c r="A23" s="127"/>
      <c r="B23" s="126" t="s">
        <v>259</v>
      </c>
    </row>
    <row r="24">
      <c r="A24" s="127"/>
      <c r="B24" s="126" t="s">
        <v>102</v>
      </c>
    </row>
    <row r="25">
      <c r="A25" s="127"/>
      <c r="B25" s="126" t="s">
        <v>143</v>
      </c>
    </row>
    <row r="26">
      <c r="A26" s="125"/>
      <c r="B26" s="126" t="s">
        <v>99</v>
      </c>
    </row>
    <row r="27">
      <c r="A27" s="125">
        <v>1.0</v>
      </c>
      <c r="B27" s="126" t="s">
        <v>235</v>
      </c>
    </row>
    <row r="28">
      <c r="A28" s="127"/>
      <c r="B28" s="128" t="s">
        <v>31</v>
      </c>
    </row>
    <row r="29">
      <c r="A29" s="125"/>
      <c r="B29" s="128" t="s">
        <v>147</v>
      </c>
    </row>
    <row r="30">
      <c r="A30" s="127"/>
      <c r="B30" s="126" t="s">
        <v>261</v>
      </c>
    </row>
    <row r="31">
      <c r="A31" s="127"/>
      <c r="B31" s="126" t="s">
        <v>262</v>
      </c>
    </row>
    <row r="32">
      <c r="A32" s="127"/>
      <c r="B32" s="126" t="s">
        <v>264</v>
      </c>
    </row>
    <row r="33">
      <c r="A33" s="127"/>
      <c r="B33" s="128" t="s">
        <v>265</v>
      </c>
    </row>
    <row r="34">
      <c r="A34" s="127"/>
      <c r="B34" s="126" t="s">
        <v>267</v>
      </c>
    </row>
    <row r="35">
      <c r="A35" s="127"/>
      <c r="B35" s="126" t="s">
        <v>268</v>
      </c>
    </row>
    <row r="36">
      <c r="A36" s="127"/>
      <c r="B36" s="126" t="s">
        <v>269</v>
      </c>
    </row>
    <row r="37">
      <c r="A37" s="127"/>
      <c r="B37" s="126" t="s">
        <v>223</v>
      </c>
    </row>
    <row r="38">
      <c r="A38" s="125">
        <v>1.0</v>
      </c>
      <c r="B38" s="126" t="s">
        <v>23</v>
      </c>
    </row>
    <row r="39">
      <c r="A39" s="125"/>
      <c r="B39" s="126" t="s">
        <v>226</v>
      </c>
    </row>
    <row r="40">
      <c r="A40" s="127"/>
      <c r="B40" s="126" t="s">
        <v>270</v>
      </c>
    </row>
    <row r="41">
      <c r="A41" s="127"/>
      <c r="B41" s="126" t="s">
        <v>273</v>
      </c>
    </row>
    <row r="42">
      <c r="A42" s="127"/>
      <c r="B42" s="126" t="s">
        <v>275</v>
      </c>
    </row>
    <row r="43">
      <c r="A43" s="125">
        <v>1.0</v>
      </c>
      <c r="B43" s="126" t="s">
        <v>228</v>
      </c>
    </row>
    <row r="44">
      <c r="A44" s="127"/>
      <c r="B44" s="126" t="s">
        <v>276</v>
      </c>
    </row>
    <row r="45">
      <c r="A45" s="127"/>
      <c r="B45" s="126" t="s">
        <v>278</v>
      </c>
    </row>
    <row r="46">
      <c r="A46" s="127"/>
      <c r="B46" s="128" t="s">
        <v>281</v>
      </c>
    </row>
    <row r="47">
      <c r="A47" s="127"/>
      <c r="B47" s="126" t="s">
        <v>283</v>
      </c>
    </row>
    <row r="48">
      <c r="A48" s="127"/>
      <c r="B48" s="126" t="s">
        <v>285</v>
      </c>
    </row>
    <row r="49">
      <c r="A49" s="125"/>
      <c r="B49" s="126" t="s">
        <v>289</v>
      </c>
    </row>
    <row r="50">
      <c r="A50" s="127"/>
      <c r="B50" s="126" t="s">
        <v>292</v>
      </c>
    </row>
    <row r="51">
      <c r="A51" s="127"/>
      <c r="B51" s="126" t="s">
        <v>293</v>
      </c>
    </row>
    <row r="52">
      <c r="A52" s="127"/>
      <c r="B52" s="126" t="s">
        <v>297</v>
      </c>
    </row>
    <row r="53">
      <c r="A53" s="125">
        <v>1.0</v>
      </c>
      <c r="B53" s="126" t="s">
        <v>161</v>
      </c>
    </row>
    <row r="54">
      <c r="A54" s="127"/>
      <c r="B54" s="126" t="s">
        <v>298</v>
      </c>
    </row>
    <row r="55">
      <c r="A55" s="127"/>
      <c r="B55" s="126" t="s">
        <v>300</v>
      </c>
    </row>
    <row r="56">
      <c r="A56" s="127"/>
      <c r="B56" s="126" t="s">
        <v>200</v>
      </c>
    </row>
    <row r="57">
      <c r="A57" s="125">
        <v>1.0</v>
      </c>
      <c r="B57" s="126" t="s">
        <v>491</v>
      </c>
    </row>
    <row r="58">
      <c r="A58" s="125">
        <v>1.0</v>
      </c>
      <c r="B58" s="128" t="s">
        <v>302</v>
      </c>
    </row>
    <row r="59">
      <c r="A59" s="127"/>
      <c r="B59" s="128" t="s">
        <v>303</v>
      </c>
    </row>
    <row r="60">
      <c r="A60" s="127"/>
      <c r="B60" s="126" t="s">
        <v>304</v>
      </c>
    </row>
    <row r="61">
      <c r="A61" s="127"/>
      <c r="B61" s="126" t="s">
        <v>306</v>
      </c>
    </row>
    <row r="62">
      <c r="A62" s="127"/>
      <c r="B62" s="126" t="s">
        <v>307</v>
      </c>
    </row>
    <row r="63">
      <c r="A63" s="127"/>
      <c r="B63" s="126" t="s">
        <v>44</v>
      </c>
    </row>
    <row r="64">
      <c r="A64" s="127"/>
      <c r="B64" s="126" t="s">
        <v>97</v>
      </c>
    </row>
    <row r="65">
      <c r="A65" s="127"/>
      <c r="B65" s="126" t="s">
        <v>110</v>
      </c>
    </row>
    <row r="66">
      <c r="A66" s="127"/>
      <c r="B66" s="126" t="s">
        <v>308</v>
      </c>
    </row>
    <row r="67">
      <c r="A67" s="127"/>
      <c r="B67" s="126" t="s">
        <v>309</v>
      </c>
    </row>
    <row r="68">
      <c r="A68" s="127"/>
      <c r="B68" s="126" t="s">
        <v>311</v>
      </c>
    </row>
    <row r="69">
      <c r="A69" s="125">
        <v>1.0</v>
      </c>
      <c r="B69" s="126" t="s">
        <v>237</v>
      </c>
    </row>
    <row r="70">
      <c r="A70" s="125"/>
      <c r="B70" s="129" t="s">
        <v>313</v>
      </c>
    </row>
    <row r="71">
      <c r="A71" s="127"/>
      <c r="B71" s="126" t="s">
        <v>315</v>
      </c>
    </row>
    <row r="72">
      <c r="A72" s="127"/>
      <c r="B72" s="126" t="s">
        <v>317</v>
      </c>
    </row>
    <row r="73">
      <c r="A73" s="39"/>
      <c r="B73" s="41"/>
    </row>
    <row r="74">
      <c r="A74" s="43">
        <f>SUM(A5:A72)</f>
        <v>7</v>
      </c>
    </row>
    <row r="75">
      <c r="A75" s="43">
        <f>COUNTIF(A5:A72,"&gt;0")</f>
        <v>7</v>
      </c>
    </row>
  </sheetData>
  <dataValidations>
    <dataValidation type="list" allowBlank="1" showErrorMessage="1" sqref="A4:A72">
      <formula1>'Ricette dei preparati'!$A$3:$A$23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24.0"/>
    <col customWidth="1" min="4" max="4" width="22.88"/>
  </cols>
  <sheetData>
    <row r="1">
      <c r="A1" s="124"/>
      <c r="B1" s="2"/>
      <c r="D1" s="122" t="s">
        <v>492</v>
      </c>
    </row>
    <row r="2">
      <c r="A2" s="124"/>
      <c r="B2" s="2"/>
      <c r="D2" s="122"/>
    </row>
    <row r="3">
      <c r="A3" s="124"/>
      <c r="B3" s="2" t="s">
        <v>8</v>
      </c>
    </row>
    <row r="4">
      <c r="A4" s="125">
        <v>1.0</v>
      </c>
      <c r="B4" s="126" t="s">
        <v>313</v>
      </c>
    </row>
    <row r="5">
      <c r="A5" s="125">
        <v>1.0</v>
      </c>
      <c r="B5" s="128" t="s">
        <v>178</v>
      </c>
    </row>
    <row r="6">
      <c r="A6" s="125">
        <v>1.0</v>
      </c>
      <c r="B6" s="128" t="s">
        <v>137</v>
      </c>
    </row>
    <row r="7">
      <c r="A7" s="125">
        <v>1.0</v>
      </c>
      <c r="B7" s="126" t="s">
        <v>38</v>
      </c>
    </row>
    <row r="8">
      <c r="A8" s="125">
        <v>1.0</v>
      </c>
      <c r="B8" s="128" t="s">
        <v>94</v>
      </c>
    </row>
    <row r="9">
      <c r="A9" s="125">
        <v>1.0</v>
      </c>
      <c r="B9" s="126" t="s">
        <v>289</v>
      </c>
    </row>
    <row r="10">
      <c r="A10" s="125"/>
      <c r="B10" s="126" t="s">
        <v>221</v>
      </c>
    </row>
    <row r="11">
      <c r="A11" s="125"/>
      <c r="B11" s="126" t="s">
        <v>99</v>
      </c>
    </row>
    <row r="12">
      <c r="A12" s="125"/>
      <c r="B12" s="128" t="s">
        <v>147</v>
      </c>
    </row>
    <row r="13">
      <c r="A13" s="125"/>
      <c r="B13" s="126" t="s">
        <v>490</v>
      </c>
    </row>
    <row r="14">
      <c r="A14" s="125"/>
      <c r="B14" s="126" t="s">
        <v>240</v>
      </c>
    </row>
    <row r="15">
      <c r="A15" s="125"/>
      <c r="B15" s="126" t="s">
        <v>250</v>
      </c>
    </row>
    <row r="16">
      <c r="A16" s="125"/>
      <c r="B16" s="126" t="s">
        <v>163</v>
      </c>
    </row>
    <row r="17">
      <c r="A17" s="127"/>
      <c r="B17" s="126" t="s">
        <v>140</v>
      </c>
    </row>
    <row r="18">
      <c r="A18" s="127"/>
      <c r="B18" s="126" t="s">
        <v>241</v>
      </c>
    </row>
    <row r="19">
      <c r="A19" s="125"/>
      <c r="B19" s="126" t="s">
        <v>245</v>
      </c>
    </row>
    <row r="20">
      <c r="A20" s="127"/>
      <c r="B20" s="126" t="s">
        <v>246</v>
      </c>
    </row>
    <row r="21">
      <c r="A21" s="127"/>
      <c r="B21" s="126" t="s">
        <v>230</v>
      </c>
    </row>
    <row r="22">
      <c r="A22" s="127"/>
      <c r="B22" s="126" t="s">
        <v>251</v>
      </c>
    </row>
    <row r="23">
      <c r="A23" s="127"/>
      <c r="B23" s="126" t="s">
        <v>232</v>
      </c>
    </row>
    <row r="24">
      <c r="A24" s="127"/>
      <c r="B24" s="126" t="s">
        <v>256</v>
      </c>
    </row>
    <row r="25">
      <c r="A25" s="127"/>
      <c r="B25" s="126" t="s">
        <v>234</v>
      </c>
    </row>
    <row r="26">
      <c r="A26" s="127"/>
      <c r="B26" s="126" t="s">
        <v>257</v>
      </c>
    </row>
    <row r="27">
      <c r="A27" s="127"/>
      <c r="B27" s="126" t="s">
        <v>259</v>
      </c>
    </row>
    <row r="28">
      <c r="A28" s="127"/>
      <c r="B28" s="126" t="s">
        <v>102</v>
      </c>
    </row>
    <row r="29">
      <c r="A29" s="127"/>
      <c r="B29" s="126" t="s">
        <v>143</v>
      </c>
    </row>
    <row r="30">
      <c r="A30" s="127"/>
      <c r="B30" s="126" t="s">
        <v>235</v>
      </c>
    </row>
    <row r="31">
      <c r="A31" s="127"/>
      <c r="B31" s="126" t="s">
        <v>261</v>
      </c>
    </row>
    <row r="32">
      <c r="A32" s="127"/>
      <c r="B32" s="126" t="s">
        <v>262</v>
      </c>
    </row>
    <row r="33">
      <c r="A33" s="127"/>
      <c r="B33" s="126" t="s">
        <v>264</v>
      </c>
    </row>
    <row r="34">
      <c r="A34" s="127"/>
      <c r="B34" s="128" t="s">
        <v>265</v>
      </c>
    </row>
    <row r="35">
      <c r="A35" s="127"/>
      <c r="B35" s="126" t="s">
        <v>267</v>
      </c>
    </row>
    <row r="36">
      <c r="A36" s="127"/>
      <c r="B36" s="126" t="s">
        <v>268</v>
      </c>
    </row>
    <row r="37">
      <c r="A37" s="127"/>
      <c r="B37" s="126" t="s">
        <v>269</v>
      </c>
    </row>
    <row r="38">
      <c r="A38" s="127"/>
      <c r="B38" s="128" t="s">
        <v>31</v>
      </c>
    </row>
    <row r="39">
      <c r="A39" s="127"/>
      <c r="B39" s="126" t="s">
        <v>223</v>
      </c>
    </row>
    <row r="40">
      <c r="A40" s="125"/>
      <c r="B40" s="126" t="s">
        <v>23</v>
      </c>
    </row>
    <row r="41">
      <c r="A41" s="125"/>
      <c r="B41" s="126" t="s">
        <v>226</v>
      </c>
    </row>
    <row r="42">
      <c r="A42" s="127"/>
      <c r="B42" s="126" t="s">
        <v>270</v>
      </c>
    </row>
    <row r="43">
      <c r="A43" s="127"/>
      <c r="B43" s="126" t="s">
        <v>273</v>
      </c>
    </row>
    <row r="44">
      <c r="A44" s="127"/>
      <c r="B44" s="126" t="s">
        <v>275</v>
      </c>
    </row>
    <row r="45">
      <c r="A45" s="125"/>
      <c r="B45" s="126" t="s">
        <v>228</v>
      </c>
    </row>
    <row r="46">
      <c r="A46" s="127"/>
      <c r="B46" s="126" t="s">
        <v>276</v>
      </c>
    </row>
    <row r="47">
      <c r="A47" s="127"/>
      <c r="B47" s="126" t="s">
        <v>278</v>
      </c>
    </row>
    <row r="48">
      <c r="A48" s="127"/>
      <c r="B48" s="128" t="s">
        <v>281</v>
      </c>
    </row>
    <row r="49">
      <c r="A49" s="127"/>
      <c r="B49" s="126" t="s">
        <v>283</v>
      </c>
    </row>
    <row r="50">
      <c r="A50" s="127"/>
      <c r="B50" s="126" t="s">
        <v>285</v>
      </c>
    </row>
    <row r="51">
      <c r="A51" s="127"/>
      <c r="B51" s="126" t="s">
        <v>292</v>
      </c>
    </row>
    <row r="52">
      <c r="A52" s="127"/>
      <c r="B52" s="126" t="s">
        <v>293</v>
      </c>
    </row>
    <row r="53">
      <c r="A53" s="127"/>
      <c r="B53" s="126" t="s">
        <v>297</v>
      </c>
    </row>
    <row r="54">
      <c r="A54" s="127"/>
      <c r="B54" s="126" t="s">
        <v>161</v>
      </c>
    </row>
    <row r="55">
      <c r="A55" s="127"/>
      <c r="B55" s="126" t="s">
        <v>298</v>
      </c>
    </row>
    <row r="56">
      <c r="A56" s="127"/>
      <c r="B56" s="126" t="s">
        <v>300</v>
      </c>
    </row>
    <row r="57">
      <c r="A57" s="127"/>
      <c r="B57" s="126" t="s">
        <v>200</v>
      </c>
    </row>
    <row r="58">
      <c r="A58" s="127"/>
      <c r="B58" s="126" t="s">
        <v>491</v>
      </c>
    </row>
    <row r="59">
      <c r="A59" s="127"/>
      <c r="B59" s="128" t="s">
        <v>302</v>
      </c>
    </row>
    <row r="60">
      <c r="A60" s="127"/>
      <c r="B60" s="128" t="s">
        <v>303</v>
      </c>
    </row>
    <row r="61">
      <c r="A61" s="127"/>
      <c r="B61" s="126" t="s">
        <v>304</v>
      </c>
    </row>
    <row r="62">
      <c r="A62" s="127"/>
      <c r="B62" s="126" t="s">
        <v>306</v>
      </c>
    </row>
    <row r="63">
      <c r="A63" s="127"/>
      <c r="B63" s="126" t="s">
        <v>307</v>
      </c>
    </row>
    <row r="64">
      <c r="A64" s="127"/>
      <c r="B64" s="126" t="s">
        <v>44</v>
      </c>
    </row>
    <row r="65">
      <c r="A65" s="127"/>
      <c r="B65" s="126" t="s">
        <v>97</v>
      </c>
    </row>
    <row r="66">
      <c r="A66" s="127"/>
      <c r="B66" s="126" t="s">
        <v>110</v>
      </c>
    </row>
    <row r="67">
      <c r="A67" s="127"/>
      <c r="B67" s="126" t="s">
        <v>308</v>
      </c>
    </row>
    <row r="68">
      <c r="A68" s="127"/>
      <c r="B68" s="126" t="s">
        <v>309</v>
      </c>
    </row>
    <row r="69">
      <c r="A69" s="127"/>
      <c r="B69" s="126" t="s">
        <v>311</v>
      </c>
    </row>
    <row r="70">
      <c r="A70" s="127"/>
      <c r="B70" s="126" t="s">
        <v>237</v>
      </c>
    </row>
    <row r="71">
      <c r="A71" s="127"/>
      <c r="B71" s="126" t="s">
        <v>315</v>
      </c>
    </row>
    <row r="72">
      <c r="A72" s="127"/>
      <c r="B72" s="126" t="s">
        <v>317</v>
      </c>
    </row>
    <row r="73">
      <c r="A73" s="39"/>
      <c r="B73" s="41"/>
    </row>
    <row r="74">
      <c r="A74" s="43">
        <f>SUM(A4:A72)</f>
        <v>6</v>
      </c>
    </row>
    <row r="75">
      <c r="A75" s="43">
        <f>COUNTIF(A4:A72,"&gt;0")</f>
        <v>6</v>
      </c>
    </row>
  </sheetData>
  <conditionalFormatting sqref="B4:B72">
    <cfRule type="expression" dxfId="6" priority="1">
      <formula>$A4&gt;0</formula>
    </cfRule>
  </conditionalFormatting>
  <dataValidations>
    <dataValidation type="list" allowBlank="1" showErrorMessage="1" sqref="A4:A72">
      <formula1>'Ricette dei preparati'!$A$3:$A$23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22.13"/>
    <col customWidth="1" min="4" max="4" width="21.25"/>
  </cols>
  <sheetData>
    <row r="1">
      <c r="A1" s="1" t="s">
        <v>5</v>
      </c>
      <c r="B1" s="2"/>
      <c r="D1" s="122" t="s">
        <v>493</v>
      </c>
    </row>
    <row r="3">
      <c r="B3" s="2" t="s">
        <v>8</v>
      </c>
    </row>
    <row r="4">
      <c r="A4" s="125">
        <v>1.0</v>
      </c>
      <c r="B4" s="130" t="s">
        <v>215</v>
      </c>
    </row>
    <row r="5">
      <c r="A5" s="125">
        <v>1.0</v>
      </c>
      <c r="B5" s="130" t="s">
        <v>211</v>
      </c>
    </row>
    <row r="6">
      <c r="A6" s="125">
        <v>1.0</v>
      </c>
      <c r="B6" s="130" t="s">
        <v>102</v>
      </c>
    </row>
    <row r="7">
      <c r="A7" s="125">
        <v>1.0</v>
      </c>
      <c r="B7" s="130" t="s">
        <v>200</v>
      </c>
    </row>
    <row r="8">
      <c r="A8" s="125">
        <v>1.0</v>
      </c>
      <c r="B8" s="130" t="s">
        <v>38</v>
      </c>
    </row>
    <row r="9">
      <c r="A9" s="125">
        <v>1.0</v>
      </c>
      <c r="B9" s="130" t="s">
        <v>218</v>
      </c>
    </row>
    <row r="10">
      <c r="A10" s="125">
        <v>1.0</v>
      </c>
      <c r="B10" s="130" t="s">
        <v>150</v>
      </c>
    </row>
    <row r="11">
      <c r="A11" s="125">
        <v>1.0</v>
      </c>
      <c r="B11" s="130" t="s">
        <v>221</v>
      </c>
    </row>
    <row r="12">
      <c r="A12" s="125"/>
      <c r="B12" s="130" t="s">
        <v>223</v>
      </c>
    </row>
    <row r="13">
      <c r="A13" s="125"/>
      <c r="B13" s="130" t="s">
        <v>180</v>
      </c>
    </row>
    <row r="14">
      <c r="A14" s="125"/>
      <c r="B14" s="131" t="s">
        <v>225</v>
      </c>
    </row>
    <row r="15">
      <c r="A15" s="125"/>
      <c r="B15" s="130" t="s">
        <v>161</v>
      </c>
    </row>
    <row r="16">
      <c r="A16" s="125"/>
      <c r="B16" s="130" t="s">
        <v>23</v>
      </c>
    </row>
    <row r="17">
      <c r="A17" s="125"/>
      <c r="B17" s="130" t="s">
        <v>226</v>
      </c>
    </row>
    <row r="18">
      <c r="A18" s="125"/>
      <c r="B18" s="130" t="s">
        <v>228</v>
      </c>
    </row>
    <row r="19">
      <c r="A19" s="127"/>
      <c r="B19" s="130" t="s">
        <v>140</v>
      </c>
    </row>
    <row r="20">
      <c r="A20" s="127"/>
      <c r="B20" s="130" t="s">
        <v>230</v>
      </c>
    </row>
    <row r="21">
      <c r="A21" s="127"/>
      <c r="B21" s="130" t="s">
        <v>232</v>
      </c>
    </row>
    <row r="22">
      <c r="A22" s="127"/>
      <c r="B22" s="130" t="s">
        <v>234</v>
      </c>
    </row>
    <row r="23">
      <c r="A23" s="127"/>
      <c r="B23" s="130" t="s">
        <v>235</v>
      </c>
    </row>
    <row r="24">
      <c r="A24" s="127"/>
      <c r="B24" s="130" t="s">
        <v>491</v>
      </c>
    </row>
    <row r="25">
      <c r="A25" s="127"/>
      <c r="B25" s="130" t="s">
        <v>237</v>
      </c>
    </row>
    <row r="26">
      <c r="A26" s="125"/>
      <c r="B26" s="130" t="s">
        <v>240</v>
      </c>
    </row>
    <row r="27">
      <c r="A27" s="125"/>
      <c r="B27" s="131" t="s">
        <v>137</v>
      </c>
    </row>
    <row r="28">
      <c r="A28" s="125"/>
      <c r="B28" s="130" t="s">
        <v>163</v>
      </c>
    </row>
    <row r="29">
      <c r="A29" s="125"/>
      <c r="B29" s="131" t="s">
        <v>94</v>
      </c>
    </row>
    <row r="30">
      <c r="A30" s="127"/>
      <c r="B30" s="130" t="s">
        <v>241</v>
      </c>
    </row>
    <row r="31">
      <c r="A31" s="127"/>
      <c r="B31" s="130" t="s">
        <v>242</v>
      </c>
    </row>
    <row r="32">
      <c r="A32" s="127"/>
      <c r="B32" s="130" t="s">
        <v>112</v>
      </c>
    </row>
    <row r="33">
      <c r="A33" s="125"/>
      <c r="B33" s="130" t="s">
        <v>245</v>
      </c>
    </row>
    <row r="34">
      <c r="A34" s="125"/>
      <c r="B34" s="130" t="s">
        <v>490</v>
      </c>
    </row>
    <row r="35">
      <c r="A35" s="127"/>
      <c r="B35" s="130" t="s">
        <v>246</v>
      </c>
    </row>
    <row r="36">
      <c r="A36" s="125"/>
      <c r="B36" s="130" t="s">
        <v>250</v>
      </c>
    </row>
    <row r="37">
      <c r="A37" s="127"/>
      <c r="B37" s="130" t="s">
        <v>251</v>
      </c>
    </row>
    <row r="38">
      <c r="A38" s="127"/>
      <c r="B38" s="130" t="s">
        <v>254</v>
      </c>
    </row>
    <row r="39">
      <c r="A39" s="127"/>
      <c r="B39" s="130" t="s">
        <v>256</v>
      </c>
    </row>
    <row r="40">
      <c r="A40" s="125"/>
      <c r="B40" s="131" t="s">
        <v>178</v>
      </c>
    </row>
    <row r="41">
      <c r="A41" s="127"/>
      <c r="B41" s="130" t="s">
        <v>257</v>
      </c>
    </row>
    <row r="42">
      <c r="A42" s="127"/>
      <c r="B42" s="130" t="s">
        <v>259</v>
      </c>
    </row>
    <row r="43">
      <c r="A43" s="127"/>
      <c r="B43" s="130" t="s">
        <v>143</v>
      </c>
    </row>
    <row r="44">
      <c r="A44" s="125"/>
      <c r="B44" s="130" t="s">
        <v>99</v>
      </c>
    </row>
    <row r="45">
      <c r="A45" s="127"/>
      <c r="B45" s="131" t="s">
        <v>31</v>
      </c>
    </row>
    <row r="46">
      <c r="A46" s="125"/>
      <c r="B46" s="131" t="s">
        <v>147</v>
      </c>
    </row>
    <row r="47">
      <c r="A47" s="127"/>
      <c r="B47" s="130" t="s">
        <v>261</v>
      </c>
    </row>
    <row r="48">
      <c r="A48" s="127"/>
      <c r="B48" s="130" t="s">
        <v>262</v>
      </c>
    </row>
    <row r="49">
      <c r="A49" s="127"/>
      <c r="B49" s="130" t="s">
        <v>264</v>
      </c>
    </row>
    <row r="50">
      <c r="A50" s="127"/>
      <c r="B50" s="131" t="s">
        <v>265</v>
      </c>
    </row>
    <row r="51">
      <c r="A51" s="127"/>
      <c r="B51" s="130" t="s">
        <v>267</v>
      </c>
    </row>
    <row r="52">
      <c r="A52" s="127"/>
      <c r="B52" s="130" t="s">
        <v>268</v>
      </c>
    </row>
    <row r="53">
      <c r="A53" s="127"/>
      <c r="B53" s="130" t="s">
        <v>269</v>
      </c>
    </row>
    <row r="54">
      <c r="A54" s="127"/>
      <c r="B54" s="130" t="s">
        <v>270</v>
      </c>
    </row>
    <row r="55">
      <c r="A55" s="127"/>
      <c r="B55" s="130" t="s">
        <v>273</v>
      </c>
    </row>
    <row r="56">
      <c r="A56" s="127"/>
      <c r="B56" s="130" t="s">
        <v>275</v>
      </c>
    </row>
    <row r="57">
      <c r="A57" s="127"/>
      <c r="B57" s="130" t="s">
        <v>276</v>
      </c>
    </row>
    <row r="58">
      <c r="A58" s="127"/>
      <c r="B58" s="130" t="s">
        <v>278</v>
      </c>
    </row>
    <row r="59">
      <c r="A59" s="127"/>
      <c r="B59" s="131" t="s">
        <v>281</v>
      </c>
    </row>
    <row r="60">
      <c r="A60" s="127"/>
      <c r="B60" s="130" t="s">
        <v>283</v>
      </c>
    </row>
    <row r="61">
      <c r="A61" s="127"/>
      <c r="B61" s="130" t="s">
        <v>285</v>
      </c>
    </row>
    <row r="62">
      <c r="A62" s="125"/>
      <c r="B62" s="130" t="s">
        <v>289</v>
      </c>
    </row>
    <row r="63">
      <c r="A63" s="127"/>
      <c r="B63" s="130" t="s">
        <v>292</v>
      </c>
    </row>
    <row r="64">
      <c r="A64" s="127"/>
      <c r="B64" s="130" t="s">
        <v>293</v>
      </c>
    </row>
    <row r="65">
      <c r="A65" s="127"/>
      <c r="B65" s="130" t="s">
        <v>297</v>
      </c>
    </row>
    <row r="66">
      <c r="A66" s="127"/>
      <c r="B66" s="130" t="s">
        <v>298</v>
      </c>
    </row>
    <row r="67">
      <c r="A67" s="127"/>
      <c r="B67" s="130" t="s">
        <v>300</v>
      </c>
    </row>
    <row r="68">
      <c r="A68" s="127"/>
      <c r="B68" s="131" t="s">
        <v>302</v>
      </c>
    </row>
    <row r="69">
      <c r="A69" s="127"/>
      <c r="B69" s="131" t="s">
        <v>303</v>
      </c>
    </row>
    <row r="70">
      <c r="A70" s="127"/>
      <c r="B70" s="130" t="s">
        <v>304</v>
      </c>
    </row>
    <row r="71">
      <c r="A71" s="127"/>
      <c r="B71" s="130" t="s">
        <v>306</v>
      </c>
    </row>
    <row r="72">
      <c r="A72" s="127"/>
      <c r="B72" s="130" t="s">
        <v>307</v>
      </c>
    </row>
    <row r="73">
      <c r="A73" s="127"/>
      <c r="B73" s="130" t="s">
        <v>44</v>
      </c>
    </row>
    <row r="74">
      <c r="A74" s="127"/>
      <c r="B74" s="130" t="s">
        <v>97</v>
      </c>
    </row>
    <row r="75">
      <c r="A75" s="127"/>
      <c r="B75" s="130" t="s">
        <v>110</v>
      </c>
    </row>
    <row r="76">
      <c r="A76" s="127"/>
      <c r="B76" s="130" t="s">
        <v>308</v>
      </c>
    </row>
    <row r="77">
      <c r="A77" s="127"/>
      <c r="B77" s="130" t="s">
        <v>309</v>
      </c>
    </row>
    <row r="78">
      <c r="A78" s="127"/>
      <c r="B78" s="130" t="s">
        <v>311</v>
      </c>
    </row>
    <row r="79">
      <c r="A79" s="125"/>
      <c r="B79" s="130" t="s">
        <v>313</v>
      </c>
    </row>
    <row r="80">
      <c r="A80" s="127"/>
      <c r="B80" s="130" t="s">
        <v>315</v>
      </c>
    </row>
    <row r="81">
      <c r="A81" s="127"/>
      <c r="B81" s="130" t="s">
        <v>317</v>
      </c>
    </row>
    <row r="82">
      <c r="A82" s="39"/>
      <c r="B82" s="41"/>
    </row>
    <row r="83">
      <c r="A83" s="43">
        <f>SUM(A4:A81)</f>
        <v>8</v>
      </c>
    </row>
    <row r="84">
      <c r="A84" s="43">
        <f>COUNTIF(A4:A81,"&gt;0")</f>
        <v>8</v>
      </c>
    </row>
  </sheetData>
  <mergeCells count="2">
    <mergeCell ref="A1:A3"/>
    <mergeCell ref="B1:B2"/>
  </mergeCells>
  <conditionalFormatting sqref="B4:B81">
    <cfRule type="expression" dxfId="6" priority="1">
      <formula>$A4&gt;0</formula>
    </cfRule>
  </conditionalFormatting>
  <dataValidations>
    <dataValidation type="list" allowBlank="1" showErrorMessage="1" sqref="A4:A81">
      <formula1>'Ricette dei preparati'!$A$3:$A$23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22.13"/>
  </cols>
  <sheetData>
    <row r="1">
      <c r="A1" s="1" t="s">
        <v>5</v>
      </c>
      <c r="B1" s="2"/>
      <c r="D1" s="122" t="s">
        <v>494</v>
      </c>
    </row>
    <row r="3">
      <c r="B3" s="2" t="s">
        <v>8</v>
      </c>
    </row>
    <row r="4">
      <c r="A4" s="125">
        <v>1.0</v>
      </c>
      <c r="B4" s="130" t="s">
        <v>44</v>
      </c>
    </row>
    <row r="5">
      <c r="A5" s="125">
        <v>1.0</v>
      </c>
      <c r="B5" s="130" t="s">
        <v>193</v>
      </c>
    </row>
    <row r="6">
      <c r="A6" s="125">
        <v>1.0</v>
      </c>
      <c r="B6" s="130" t="s">
        <v>200</v>
      </c>
    </row>
    <row r="7">
      <c r="A7" s="125">
        <v>1.0</v>
      </c>
      <c r="B7" s="130" t="s">
        <v>187</v>
      </c>
    </row>
    <row r="8">
      <c r="A8" s="125">
        <v>1.0</v>
      </c>
      <c r="B8" s="130" t="s">
        <v>190</v>
      </c>
    </row>
    <row r="9">
      <c r="A9" s="125">
        <v>1.0</v>
      </c>
      <c r="B9" s="130" t="s">
        <v>204</v>
      </c>
    </row>
    <row r="10">
      <c r="A10" s="125">
        <v>1.0</v>
      </c>
      <c r="B10" s="130" t="s">
        <v>71</v>
      </c>
    </row>
    <row r="11">
      <c r="A11" s="125">
        <v>1.0</v>
      </c>
      <c r="B11" s="130" t="s">
        <v>208</v>
      </c>
    </row>
    <row r="12">
      <c r="A12" s="125">
        <v>1.0</v>
      </c>
      <c r="B12" s="130" t="s">
        <v>65</v>
      </c>
    </row>
    <row r="13">
      <c r="A13" s="125"/>
      <c r="B13" s="130" t="s">
        <v>211</v>
      </c>
    </row>
    <row r="14">
      <c r="A14" s="125"/>
      <c r="B14" s="130" t="s">
        <v>215</v>
      </c>
    </row>
    <row r="15">
      <c r="A15" s="125"/>
      <c r="B15" s="130" t="s">
        <v>102</v>
      </c>
    </row>
    <row r="16">
      <c r="A16" s="125"/>
      <c r="B16" s="130" t="s">
        <v>38</v>
      </c>
    </row>
    <row r="17">
      <c r="A17" s="125"/>
      <c r="B17" s="130" t="s">
        <v>218</v>
      </c>
    </row>
    <row r="18">
      <c r="A18" s="125"/>
      <c r="B18" s="130" t="s">
        <v>150</v>
      </c>
    </row>
    <row r="19">
      <c r="A19" s="125"/>
      <c r="B19" s="130" t="s">
        <v>221</v>
      </c>
    </row>
    <row r="20">
      <c r="A20" s="125"/>
      <c r="B20" s="130" t="s">
        <v>223</v>
      </c>
    </row>
    <row r="21">
      <c r="A21" s="125"/>
      <c r="B21" s="130" t="s">
        <v>180</v>
      </c>
    </row>
    <row r="22">
      <c r="A22" s="125"/>
      <c r="B22" s="131" t="s">
        <v>225</v>
      </c>
    </row>
    <row r="23">
      <c r="A23" s="125"/>
      <c r="B23" s="130" t="s">
        <v>161</v>
      </c>
    </row>
    <row r="24">
      <c r="A24" s="125"/>
      <c r="B24" s="130" t="s">
        <v>23</v>
      </c>
    </row>
    <row r="25">
      <c r="A25" s="125"/>
      <c r="B25" s="130" t="s">
        <v>226</v>
      </c>
    </row>
    <row r="26">
      <c r="A26" s="125"/>
      <c r="B26" s="130" t="s">
        <v>228</v>
      </c>
    </row>
    <row r="27">
      <c r="A27" s="127"/>
      <c r="B27" s="130" t="s">
        <v>140</v>
      </c>
    </row>
    <row r="28">
      <c r="A28" s="127"/>
      <c r="B28" s="130" t="s">
        <v>230</v>
      </c>
    </row>
    <row r="29">
      <c r="A29" s="127"/>
      <c r="B29" s="130" t="s">
        <v>232</v>
      </c>
    </row>
    <row r="30">
      <c r="A30" s="127"/>
      <c r="B30" s="130" t="s">
        <v>234</v>
      </c>
    </row>
    <row r="31">
      <c r="A31" s="127"/>
      <c r="B31" s="130" t="s">
        <v>235</v>
      </c>
    </row>
    <row r="32">
      <c r="A32" s="127"/>
      <c r="B32" s="130" t="s">
        <v>491</v>
      </c>
    </row>
    <row r="33">
      <c r="A33" s="127"/>
      <c r="B33" s="130" t="s">
        <v>237</v>
      </c>
    </row>
    <row r="34">
      <c r="A34" s="125"/>
      <c r="B34" s="130" t="s">
        <v>240</v>
      </c>
    </row>
    <row r="35">
      <c r="A35" s="125"/>
      <c r="B35" s="131" t="s">
        <v>137</v>
      </c>
    </row>
    <row r="36">
      <c r="A36" s="125"/>
      <c r="B36" s="130" t="s">
        <v>163</v>
      </c>
    </row>
    <row r="37">
      <c r="A37" s="125"/>
      <c r="B37" s="131" t="s">
        <v>94</v>
      </c>
    </row>
    <row r="38">
      <c r="A38" s="127"/>
      <c r="B38" s="130" t="s">
        <v>241</v>
      </c>
    </row>
    <row r="39">
      <c r="A39" s="127"/>
      <c r="B39" s="130" t="s">
        <v>242</v>
      </c>
    </row>
    <row r="40">
      <c r="A40" s="127"/>
      <c r="B40" s="130" t="s">
        <v>112</v>
      </c>
    </row>
    <row r="41">
      <c r="A41" s="125"/>
      <c r="B41" s="130" t="s">
        <v>245</v>
      </c>
    </row>
    <row r="42">
      <c r="A42" s="125"/>
      <c r="B42" s="130" t="s">
        <v>490</v>
      </c>
    </row>
    <row r="43">
      <c r="A43" s="127"/>
      <c r="B43" s="130" t="s">
        <v>246</v>
      </c>
    </row>
    <row r="44">
      <c r="A44" s="125"/>
      <c r="B44" s="130" t="s">
        <v>250</v>
      </c>
    </row>
    <row r="45">
      <c r="A45" s="127"/>
      <c r="B45" s="130" t="s">
        <v>251</v>
      </c>
    </row>
    <row r="46">
      <c r="A46" s="127"/>
      <c r="B46" s="130" t="s">
        <v>254</v>
      </c>
    </row>
    <row r="47">
      <c r="A47" s="127"/>
      <c r="B47" s="130" t="s">
        <v>256</v>
      </c>
    </row>
    <row r="48">
      <c r="A48" s="125"/>
      <c r="B48" s="131" t="s">
        <v>178</v>
      </c>
    </row>
    <row r="49">
      <c r="A49" s="127"/>
      <c r="B49" s="130" t="s">
        <v>257</v>
      </c>
    </row>
    <row r="50">
      <c r="A50" s="127"/>
      <c r="B50" s="130" t="s">
        <v>259</v>
      </c>
    </row>
    <row r="51">
      <c r="A51" s="127"/>
      <c r="B51" s="130" t="s">
        <v>143</v>
      </c>
    </row>
    <row r="52">
      <c r="A52" s="125"/>
      <c r="B52" s="130" t="s">
        <v>99</v>
      </c>
    </row>
    <row r="53">
      <c r="A53" s="127"/>
      <c r="B53" s="131" t="s">
        <v>31</v>
      </c>
    </row>
    <row r="54">
      <c r="A54" s="125"/>
      <c r="B54" s="131" t="s">
        <v>147</v>
      </c>
    </row>
    <row r="55">
      <c r="A55" s="127"/>
      <c r="B55" s="130" t="s">
        <v>261</v>
      </c>
    </row>
    <row r="56">
      <c r="A56" s="127"/>
      <c r="B56" s="130" t="s">
        <v>262</v>
      </c>
    </row>
    <row r="57">
      <c r="A57" s="127"/>
      <c r="B57" s="130" t="s">
        <v>264</v>
      </c>
    </row>
    <row r="58">
      <c r="A58" s="127"/>
      <c r="B58" s="131" t="s">
        <v>265</v>
      </c>
    </row>
    <row r="59">
      <c r="A59" s="127"/>
      <c r="B59" s="130" t="s">
        <v>267</v>
      </c>
    </row>
    <row r="60">
      <c r="A60" s="127"/>
      <c r="B60" s="130" t="s">
        <v>268</v>
      </c>
    </row>
    <row r="61">
      <c r="A61" s="127"/>
      <c r="B61" s="130" t="s">
        <v>269</v>
      </c>
    </row>
    <row r="62">
      <c r="A62" s="127"/>
      <c r="B62" s="130" t="s">
        <v>270</v>
      </c>
    </row>
    <row r="63">
      <c r="A63" s="127"/>
      <c r="B63" s="130" t="s">
        <v>273</v>
      </c>
    </row>
    <row r="64">
      <c r="A64" s="127"/>
      <c r="B64" s="130" t="s">
        <v>275</v>
      </c>
    </row>
    <row r="65">
      <c r="A65" s="127"/>
      <c r="B65" s="130" t="s">
        <v>276</v>
      </c>
    </row>
    <row r="66">
      <c r="A66" s="127"/>
      <c r="B66" s="130" t="s">
        <v>278</v>
      </c>
    </row>
    <row r="67">
      <c r="A67" s="127"/>
      <c r="B67" s="131" t="s">
        <v>281</v>
      </c>
    </row>
    <row r="68">
      <c r="A68" s="127"/>
      <c r="B68" s="130" t="s">
        <v>283</v>
      </c>
    </row>
    <row r="69">
      <c r="A69" s="127"/>
      <c r="B69" s="130" t="s">
        <v>285</v>
      </c>
    </row>
    <row r="70">
      <c r="A70" s="125"/>
      <c r="B70" s="130" t="s">
        <v>289</v>
      </c>
    </row>
    <row r="71">
      <c r="A71" s="127"/>
      <c r="B71" s="130" t="s">
        <v>292</v>
      </c>
    </row>
    <row r="72">
      <c r="A72" s="127"/>
      <c r="B72" s="130" t="s">
        <v>293</v>
      </c>
    </row>
    <row r="73">
      <c r="A73" s="127"/>
      <c r="B73" s="130" t="s">
        <v>297</v>
      </c>
    </row>
    <row r="74">
      <c r="A74" s="127"/>
      <c r="B74" s="130" t="s">
        <v>298</v>
      </c>
    </row>
    <row r="75">
      <c r="A75" s="127"/>
      <c r="B75" s="130" t="s">
        <v>300</v>
      </c>
    </row>
    <row r="76">
      <c r="A76" s="127"/>
      <c r="B76" s="131" t="s">
        <v>302</v>
      </c>
    </row>
    <row r="77">
      <c r="A77" s="127"/>
      <c r="B77" s="131" t="s">
        <v>303</v>
      </c>
    </row>
    <row r="78">
      <c r="A78" s="127"/>
      <c r="B78" s="130" t="s">
        <v>304</v>
      </c>
    </row>
    <row r="79">
      <c r="A79" s="127"/>
      <c r="B79" s="130" t="s">
        <v>306</v>
      </c>
    </row>
    <row r="80">
      <c r="A80" s="127"/>
      <c r="B80" s="130" t="s">
        <v>307</v>
      </c>
    </row>
    <row r="81">
      <c r="A81" s="127"/>
      <c r="B81" s="130" t="s">
        <v>97</v>
      </c>
    </row>
    <row r="82">
      <c r="A82" s="127"/>
      <c r="B82" s="130" t="s">
        <v>110</v>
      </c>
    </row>
    <row r="83">
      <c r="A83" s="127"/>
      <c r="B83" s="130" t="s">
        <v>308</v>
      </c>
    </row>
    <row r="84">
      <c r="A84" s="127"/>
      <c r="B84" s="130" t="s">
        <v>309</v>
      </c>
    </row>
    <row r="85">
      <c r="A85" s="127"/>
      <c r="B85" s="130" t="s">
        <v>311</v>
      </c>
    </row>
    <row r="86">
      <c r="A86" s="125"/>
      <c r="B86" s="130" t="s">
        <v>313</v>
      </c>
    </row>
    <row r="87">
      <c r="A87" s="127"/>
      <c r="B87" s="130" t="s">
        <v>315</v>
      </c>
    </row>
    <row r="88">
      <c r="A88" s="127"/>
      <c r="B88" s="130" t="s">
        <v>317</v>
      </c>
    </row>
    <row r="89">
      <c r="A89" s="39"/>
      <c r="B89" s="41"/>
    </row>
    <row r="90">
      <c r="A90" s="43">
        <f>SUM(A4:A88)</f>
        <v>9</v>
      </c>
    </row>
    <row r="91">
      <c r="A91" s="43">
        <f>COUNTIF(A4:A88,"&gt;0")</f>
        <v>9</v>
      </c>
    </row>
  </sheetData>
  <mergeCells count="2">
    <mergeCell ref="A1:A3"/>
    <mergeCell ref="B1:B2"/>
  </mergeCells>
  <conditionalFormatting sqref="B4:B88">
    <cfRule type="expression" dxfId="6" priority="1">
      <formula>$A4&gt;0</formula>
    </cfRule>
  </conditionalFormatting>
  <dataValidations>
    <dataValidation type="list" allowBlank="1" showErrorMessage="1" sqref="A4:A88">
      <formula1>'Ricette dei preparati'!$A$3:$A$23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22.13"/>
  </cols>
  <sheetData>
    <row r="1">
      <c r="A1" s="1" t="s">
        <v>5</v>
      </c>
      <c r="B1" s="2"/>
      <c r="D1" s="122" t="s">
        <v>495</v>
      </c>
    </row>
    <row r="3">
      <c r="B3" s="2" t="s">
        <v>8</v>
      </c>
    </row>
    <row r="4">
      <c r="A4" s="125">
        <v>5.0</v>
      </c>
      <c r="B4" s="130" t="s">
        <v>23</v>
      </c>
    </row>
    <row r="5">
      <c r="A5" s="125">
        <v>5.0</v>
      </c>
      <c r="B5" s="130" t="s">
        <v>193</v>
      </c>
    </row>
    <row r="6">
      <c r="A6" s="125">
        <v>5.0</v>
      </c>
      <c r="B6" s="130" t="s">
        <v>71</v>
      </c>
    </row>
    <row r="7">
      <c r="A7" s="125">
        <v>5.0</v>
      </c>
      <c r="B7" s="130" t="s">
        <v>150</v>
      </c>
    </row>
    <row r="8">
      <c r="A8" s="125"/>
      <c r="B8" s="130" t="s">
        <v>44</v>
      </c>
    </row>
    <row r="9">
      <c r="A9" s="125"/>
      <c r="B9" s="130" t="s">
        <v>200</v>
      </c>
    </row>
    <row r="10">
      <c r="A10" s="125"/>
      <c r="B10" s="130" t="s">
        <v>187</v>
      </c>
    </row>
    <row r="11">
      <c r="A11" s="125"/>
      <c r="B11" s="130" t="s">
        <v>190</v>
      </c>
    </row>
    <row r="12">
      <c r="A12" s="125"/>
      <c r="B12" s="130" t="s">
        <v>204</v>
      </c>
    </row>
    <row r="13">
      <c r="A13" s="125"/>
      <c r="B13" s="130" t="s">
        <v>208</v>
      </c>
    </row>
    <row r="14">
      <c r="A14" s="125"/>
      <c r="B14" s="130" t="s">
        <v>65</v>
      </c>
    </row>
    <row r="15">
      <c r="A15" s="125"/>
      <c r="B15" s="130" t="s">
        <v>211</v>
      </c>
    </row>
    <row r="16">
      <c r="A16" s="125"/>
      <c r="B16" s="130" t="s">
        <v>215</v>
      </c>
    </row>
    <row r="17">
      <c r="A17" s="125"/>
      <c r="B17" s="130" t="s">
        <v>102</v>
      </c>
    </row>
    <row r="18">
      <c r="A18" s="125"/>
      <c r="B18" s="130" t="s">
        <v>38</v>
      </c>
    </row>
    <row r="19">
      <c r="A19" s="125"/>
      <c r="B19" s="130" t="s">
        <v>218</v>
      </c>
    </row>
    <row r="20">
      <c r="A20" s="125"/>
      <c r="B20" s="130" t="s">
        <v>221</v>
      </c>
    </row>
    <row r="21">
      <c r="A21" s="125"/>
      <c r="B21" s="130" t="s">
        <v>223</v>
      </c>
    </row>
    <row r="22">
      <c r="A22" s="125"/>
      <c r="B22" s="130" t="s">
        <v>180</v>
      </c>
    </row>
    <row r="23">
      <c r="A23" s="125"/>
      <c r="B23" s="131" t="s">
        <v>225</v>
      </c>
    </row>
    <row r="24">
      <c r="A24" s="125"/>
      <c r="B24" s="130" t="s">
        <v>161</v>
      </c>
    </row>
    <row r="25">
      <c r="A25" s="125"/>
      <c r="B25" s="130" t="s">
        <v>226</v>
      </c>
    </row>
    <row r="26">
      <c r="A26" s="125"/>
      <c r="B26" s="130" t="s">
        <v>228</v>
      </c>
    </row>
    <row r="27">
      <c r="A27" s="127"/>
      <c r="B27" s="130" t="s">
        <v>140</v>
      </c>
    </row>
    <row r="28">
      <c r="A28" s="127"/>
      <c r="B28" s="130" t="s">
        <v>230</v>
      </c>
    </row>
    <row r="29">
      <c r="A29" s="127"/>
      <c r="B29" s="130" t="s">
        <v>232</v>
      </c>
    </row>
    <row r="30">
      <c r="A30" s="127"/>
      <c r="B30" s="130" t="s">
        <v>234</v>
      </c>
    </row>
    <row r="31">
      <c r="A31" s="127"/>
      <c r="B31" s="130" t="s">
        <v>235</v>
      </c>
    </row>
    <row r="32">
      <c r="A32" s="127"/>
      <c r="B32" s="130" t="s">
        <v>491</v>
      </c>
    </row>
    <row r="33">
      <c r="A33" s="127"/>
      <c r="B33" s="130" t="s">
        <v>237</v>
      </c>
    </row>
    <row r="34">
      <c r="A34" s="125"/>
      <c r="B34" s="130" t="s">
        <v>240</v>
      </c>
    </row>
    <row r="35">
      <c r="A35" s="125"/>
      <c r="B35" s="131" t="s">
        <v>137</v>
      </c>
    </row>
    <row r="36">
      <c r="A36" s="125"/>
      <c r="B36" s="130" t="s">
        <v>163</v>
      </c>
    </row>
    <row r="37">
      <c r="A37" s="125"/>
      <c r="B37" s="131" t="s">
        <v>94</v>
      </c>
    </row>
    <row r="38">
      <c r="A38" s="127"/>
      <c r="B38" s="130" t="s">
        <v>241</v>
      </c>
    </row>
    <row r="39">
      <c r="A39" s="127"/>
      <c r="B39" s="130" t="s">
        <v>242</v>
      </c>
    </row>
    <row r="40">
      <c r="A40" s="127"/>
      <c r="B40" s="130" t="s">
        <v>112</v>
      </c>
    </row>
    <row r="41">
      <c r="A41" s="125"/>
      <c r="B41" s="130" t="s">
        <v>245</v>
      </c>
    </row>
    <row r="42">
      <c r="A42" s="125"/>
      <c r="B42" s="130" t="s">
        <v>490</v>
      </c>
    </row>
    <row r="43">
      <c r="A43" s="127"/>
      <c r="B43" s="130" t="s">
        <v>246</v>
      </c>
    </row>
    <row r="44">
      <c r="A44" s="125"/>
      <c r="B44" s="130" t="s">
        <v>250</v>
      </c>
    </row>
    <row r="45">
      <c r="A45" s="127"/>
      <c r="B45" s="130" t="s">
        <v>251</v>
      </c>
    </row>
    <row r="46">
      <c r="A46" s="127"/>
      <c r="B46" s="130" t="s">
        <v>254</v>
      </c>
    </row>
    <row r="47">
      <c r="A47" s="127"/>
      <c r="B47" s="130" t="s">
        <v>256</v>
      </c>
    </row>
    <row r="48">
      <c r="A48" s="125"/>
      <c r="B48" s="131" t="s">
        <v>178</v>
      </c>
    </row>
    <row r="49">
      <c r="A49" s="127"/>
      <c r="B49" s="130" t="s">
        <v>257</v>
      </c>
    </row>
    <row r="50">
      <c r="A50" s="127"/>
      <c r="B50" s="130" t="s">
        <v>259</v>
      </c>
    </row>
    <row r="51">
      <c r="A51" s="127"/>
      <c r="B51" s="130" t="s">
        <v>143</v>
      </c>
    </row>
    <row r="52">
      <c r="A52" s="125"/>
      <c r="B52" s="130" t="s">
        <v>99</v>
      </c>
    </row>
    <row r="53">
      <c r="A53" s="127"/>
      <c r="B53" s="131" t="s">
        <v>31</v>
      </c>
    </row>
    <row r="54">
      <c r="A54" s="125"/>
      <c r="B54" s="131" t="s">
        <v>147</v>
      </c>
    </row>
    <row r="55">
      <c r="A55" s="127"/>
      <c r="B55" s="130" t="s">
        <v>261</v>
      </c>
    </row>
    <row r="56">
      <c r="A56" s="127"/>
      <c r="B56" s="130" t="s">
        <v>262</v>
      </c>
    </row>
    <row r="57">
      <c r="A57" s="127"/>
      <c r="B57" s="130" t="s">
        <v>264</v>
      </c>
    </row>
    <row r="58">
      <c r="A58" s="127"/>
      <c r="B58" s="131" t="s">
        <v>265</v>
      </c>
    </row>
    <row r="59">
      <c r="A59" s="127"/>
      <c r="B59" s="130" t="s">
        <v>267</v>
      </c>
    </row>
    <row r="60">
      <c r="A60" s="127"/>
      <c r="B60" s="130" t="s">
        <v>268</v>
      </c>
    </row>
    <row r="61">
      <c r="A61" s="127"/>
      <c r="B61" s="130" t="s">
        <v>269</v>
      </c>
    </row>
    <row r="62">
      <c r="A62" s="127"/>
      <c r="B62" s="130" t="s">
        <v>270</v>
      </c>
    </row>
    <row r="63">
      <c r="A63" s="127"/>
      <c r="B63" s="130" t="s">
        <v>273</v>
      </c>
    </row>
    <row r="64">
      <c r="A64" s="127"/>
      <c r="B64" s="130" t="s">
        <v>275</v>
      </c>
    </row>
    <row r="65">
      <c r="A65" s="127"/>
      <c r="B65" s="130" t="s">
        <v>276</v>
      </c>
    </row>
    <row r="66">
      <c r="A66" s="127"/>
      <c r="B66" s="130" t="s">
        <v>278</v>
      </c>
    </row>
    <row r="67">
      <c r="A67" s="127"/>
      <c r="B67" s="131" t="s">
        <v>281</v>
      </c>
    </row>
    <row r="68">
      <c r="A68" s="127"/>
      <c r="B68" s="130" t="s">
        <v>283</v>
      </c>
    </row>
    <row r="69">
      <c r="A69" s="127"/>
      <c r="B69" s="130" t="s">
        <v>285</v>
      </c>
    </row>
    <row r="70">
      <c r="A70" s="125"/>
      <c r="B70" s="130" t="s">
        <v>289</v>
      </c>
    </row>
    <row r="71">
      <c r="A71" s="127"/>
      <c r="B71" s="130" t="s">
        <v>292</v>
      </c>
    </row>
    <row r="72">
      <c r="A72" s="127"/>
      <c r="B72" s="130" t="s">
        <v>293</v>
      </c>
    </row>
    <row r="73">
      <c r="A73" s="127"/>
      <c r="B73" s="130" t="s">
        <v>297</v>
      </c>
    </row>
    <row r="74">
      <c r="A74" s="127"/>
      <c r="B74" s="130" t="s">
        <v>298</v>
      </c>
    </row>
    <row r="75">
      <c r="A75" s="127"/>
      <c r="B75" s="130" t="s">
        <v>300</v>
      </c>
    </row>
    <row r="76">
      <c r="A76" s="127"/>
      <c r="B76" s="131" t="s">
        <v>302</v>
      </c>
    </row>
    <row r="77">
      <c r="A77" s="127"/>
      <c r="B77" s="131" t="s">
        <v>303</v>
      </c>
    </row>
    <row r="78">
      <c r="A78" s="127"/>
      <c r="B78" s="130" t="s">
        <v>304</v>
      </c>
    </row>
    <row r="79">
      <c r="A79" s="127"/>
      <c r="B79" s="130" t="s">
        <v>306</v>
      </c>
    </row>
    <row r="80">
      <c r="A80" s="127"/>
      <c r="B80" s="130" t="s">
        <v>307</v>
      </c>
    </row>
    <row r="81">
      <c r="A81" s="127"/>
      <c r="B81" s="130" t="s">
        <v>97</v>
      </c>
    </row>
    <row r="82">
      <c r="A82" s="127"/>
      <c r="B82" s="130" t="s">
        <v>110</v>
      </c>
    </row>
    <row r="83">
      <c r="A83" s="127"/>
      <c r="B83" s="130" t="s">
        <v>308</v>
      </c>
    </row>
    <row r="84">
      <c r="A84" s="127"/>
      <c r="B84" s="130" t="s">
        <v>309</v>
      </c>
    </row>
    <row r="85">
      <c r="A85" s="127"/>
      <c r="B85" s="130" t="s">
        <v>311</v>
      </c>
    </row>
    <row r="86">
      <c r="A86" s="125"/>
      <c r="B86" s="130" t="s">
        <v>313</v>
      </c>
    </row>
    <row r="87">
      <c r="A87" s="127"/>
      <c r="B87" s="130" t="s">
        <v>315</v>
      </c>
    </row>
    <row r="88">
      <c r="A88" s="127"/>
      <c r="B88" s="130" t="s">
        <v>317</v>
      </c>
    </row>
    <row r="89">
      <c r="A89" s="39"/>
      <c r="B89" s="41"/>
    </row>
    <row r="90">
      <c r="A90" s="43">
        <f>SUM(A4:A88)</f>
        <v>20</v>
      </c>
    </row>
    <row r="91">
      <c r="A91" s="43">
        <f>COUNTIF(A4:A88,"&gt;0")</f>
        <v>4</v>
      </c>
    </row>
  </sheetData>
  <mergeCells count="2">
    <mergeCell ref="A1:A3"/>
    <mergeCell ref="B1:B2"/>
  </mergeCells>
  <conditionalFormatting sqref="B4:B88">
    <cfRule type="expression" dxfId="6" priority="1">
      <formula>$A4&gt;0</formula>
    </cfRule>
  </conditionalFormatting>
  <dataValidations>
    <dataValidation type="list" allowBlank="1" showErrorMessage="1" sqref="A4:A88">
      <formula1>'Ricette dei preparati'!$A$3:$A$23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22.13"/>
  </cols>
  <sheetData>
    <row r="1">
      <c r="A1" s="1" t="s">
        <v>5</v>
      </c>
      <c r="B1" s="2"/>
      <c r="D1" s="122" t="s">
        <v>496</v>
      </c>
    </row>
    <row r="3">
      <c r="B3" s="2" t="s">
        <v>8</v>
      </c>
    </row>
    <row r="4">
      <c r="A4" s="125">
        <v>1.0</v>
      </c>
      <c r="B4" s="130" t="s">
        <v>44</v>
      </c>
    </row>
    <row r="5">
      <c r="A5" s="125">
        <v>1.0</v>
      </c>
      <c r="B5" s="130" t="s">
        <v>140</v>
      </c>
    </row>
    <row r="6">
      <c r="A6" s="125">
        <v>1.0</v>
      </c>
      <c r="B6" s="130" t="s">
        <v>187</v>
      </c>
    </row>
    <row r="7">
      <c r="A7" s="125">
        <v>1.0</v>
      </c>
      <c r="B7" s="130" t="s">
        <v>190</v>
      </c>
    </row>
    <row r="8">
      <c r="A8" s="125">
        <v>1.0</v>
      </c>
      <c r="B8" s="130" t="s">
        <v>193</v>
      </c>
    </row>
    <row r="9">
      <c r="A9" s="125">
        <v>1.0</v>
      </c>
      <c r="B9" s="130" t="s">
        <v>71</v>
      </c>
    </row>
    <row r="10">
      <c r="A10" s="125">
        <v>1.0</v>
      </c>
      <c r="B10" s="130" t="s">
        <v>65</v>
      </c>
    </row>
    <row r="11">
      <c r="A11" s="125"/>
      <c r="B11" s="130" t="s">
        <v>23</v>
      </c>
    </row>
    <row r="12">
      <c r="A12" s="125"/>
      <c r="B12" s="130" t="s">
        <v>150</v>
      </c>
    </row>
    <row r="13">
      <c r="A13" s="125"/>
      <c r="B13" s="130" t="s">
        <v>200</v>
      </c>
    </row>
    <row r="14">
      <c r="A14" s="125"/>
      <c r="B14" s="130" t="s">
        <v>204</v>
      </c>
    </row>
    <row r="15">
      <c r="A15" s="125"/>
      <c r="B15" s="130" t="s">
        <v>208</v>
      </c>
    </row>
    <row r="16">
      <c r="A16" s="125"/>
      <c r="B16" s="130" t="s">
        <v>211</v>
      </c>
    </row>
    <row r="17">
      <c r="A17" s="125"/>
      <c r="B17" s="130" t="s">
        <v>215</v>
      </c>
    </row>
    <row r="18">
      <c r="A18" s="125"/>
      <c r="B18" s="130" t="s">
        <v>102</v>
      </c>
    </row>
    <row r="19">
      <c r="A19" s="125"/>
      <c r="B19" s="130" t="s">
        <v>38</v>
      </c>
    </row>
    <row r="20">
      <c r="A20" s="125"/>
      <c r="B20" s="130" t="s">
        <v>218</v>
      </c>
    </row>
    <row r="21">
      <c r="A21" s="125"/>
      <c r="B21" s="130" t="s">
        <v>221</v>
      </c>
    </row>
    <row r="22">
      <c r="A22" s="125"/>
      <c r="B22" s="130" t="s">
        <v>223</v>
      </c>
    </row>
    <row r="23">
      <c r="A23" s="125"/>
      <c r="B23" s="130" t="s">
        <v>180</v>
      </c>
    </row>
    <row r="24">
      <c r="A24" s="125"/>
      <c r="B24" s="131" t="s">
        <v>225</v>
      </c>
    </row>
    <row r="25">
      <c r="A25" s="125"/>
      <c r="B25" s="130" t="s">
        <v>161</v>
      </c>
    </row>
    <row r="26">
      <c r="A26" s="125"/>
      <c r="B26" s="130" t="s">
        <v>226</v>
      </c>
    </row>
    <row r="27">
      <c r="A27" s="125"/>
      <c r="B27" s="130" t="s">
        <v>228</v>
      </c>
    </row>
    <row r="28">
      <c r="A28" s="127"/>
      <c r="B28" s="130" t="s">
        <v>230</v>
      </c>
    </row>
    <row r="29">
      <c r="A29" s="127"/>
      <c r="B29" s="130" t="s">
        <v>232</v>
      </c>
    </row>
    <row r="30">
      <c r="A30" s="127"/>
      <c r="B30" s="130" t="s">
        <v>234</v>
      </c>
    </row>
    <row r="31">
      <c r="A31" s="127"/>
      <c r="B31" s="130" t="s">
        <v>235</v>
      </c>
    </row>
    <row r="32">
      <c r="A32" s="127"/>
      <c r="B32" s="130" t="s">
        <v>491</v>
      </c>
    </row>
    <row r="33">
      <c r="A33" s="127"/>
      <c r="B33" s="130" t="s">
        <v>237</v>
      </c>
    </row>
    <row r="34">
      <c r="A34" s="125"/>
      <c r="B34" s="130" t="s">
        <v>240</v>
      </c>
    </row>
    <row r="35">
      <c r="A35" s="125"/>
      <c r="B35" s="131" t="s">
        <v>137</v>
      </c>
    </row>
    <row r="36">
      <c r="A36" s="125"/>
      <c r="B36" s="130" t="s">
        <v>163</v>
      </c>
    </row>
    <row r="37">
      <c r="A37" s="125"/>
      <c r="B37" s="131" t="s">
        <v>94</v>
      </c>
    </row>
    <row r="38">
      <c r="A38" s="127"/>
      <c r="B38" s="130" t="s">
        <v>241</v>
      </c>
    </row>
    <row r="39">
      <c r="A39" s="127"/>
      <c r="B39" s="130" t="s">
        <v>242</v>
      </c>
    </row>
    <row r="40">
      <c r="A40" s="127"/>
      <c r="B40" s="130" t="s">
        <v>112</v>
      </c>
    </row>
    <row r="41">
      <c r="A41" s="125"/>
      <c r="B41" s="130" t="s">
        <v>245</v>
      </c>
    </row>
    <row r="42">
      <c r="A42" s="125"/>
      <c r="B42" s="130" t="s">
        <v>490</v>
      </c>
    </row>
    <row r="43">
      <c r="A43" s="127"/>
      <c r="B43" s="130" t="s">
        <v>246</v>
      </c>
    </row>
    <row r="44">
      <c r="A44" s="125"/>
      <c r="B44" s="130" t="s">
        <v>250</v>
      </c>
    </row>
    <row r="45">
      <c r="A45" s="127"/>
      <c r="B45" s="130" t="s">
        <v>251</v>
      </c>
    </row>
    <row r="46">
      <c r="A46" s="127"/>
      <c r="B46" s="130" t="s">
        <v>254</v>
      </c>
    </row>
    <row r="47">
      <c r="A47" s="127"/>
      <c r="B47" s="130" t="s">
        <v>256</v>
      </c>
    </row>
    <row r="48">
      <c r="A48" s="125"/>
      <c r="B48" s="131" t="s">
        <v>178</v>
      </c>
    </row>
    <row r="49">
      <c r="A49" s="127"/>
      <c r="B49" s="130" t="s">
        <v>257</v>
      </c>
    </row>
    <row r="50">
      <c r="A50" s="127"/>
      <c r="B50" s="130" t="s">
        <v>259</v>
      </c>
    </row>
    <row r="51">
      <c r="A51" s="127"/>
      <c r="B51" s="130" t="s">
        <v>143</v>
      </c>
    </row>
    <row r="52">
      <c r="A52" s="125"/>
      <c r="B52" s="130" t="s">
        <v>99</v>
      </c>
    </row>
    <row r="53">
      <c r="A53" s="127"/>
      <c r="B53" s="131" t="s">
        <v>31</v>
      </c>
    </row>
    <row r="54">
      <c r="A54" s="125"/>
      <c r="B54" s="131" t="s">
        <v>147</v>
      </c>
    </row>
    <row r="55">
      <c r="A55" s="127"/>
      <c r="B55" s="130" t="s">
        <v>261</v>
      </c>
    </row>
    <row r="56">
      <c r="A56" s="127"/>
      <c r="B56" s="130" t="s">
        <v>262</v>
      </c>
    </row>
    <row r="57">
      <c r="A57" s="127"/>
      <c r="B57" s="130" t="s">
        <v>264</v>
      </c>
    </row>
    <row r="58">
      <c r="A58" s="127"/>
      <c r="B58" s="131" t="s">
        <v>265</v>
      </c>
    </row>
    <row r="59">
      <c r="A59" s="127"/>
      <c r="B59" s="130" t="s">
        <v>267</v>
      </c>
    </row>
    <row r="60">
      <c r="A60" s="127"/>
      <c r="B60" s="130" t="s">
        <v>268</v>
      </c>
    </row>
    <row r="61">
      <c r="A61" s="127"/>
      <c r="B61" s="130" t="s">
        <v>269</v>
      </c>
    </row>
    <row r="62">
      <c r="A62" s="127"/>
      <c r="B62" s="130" t="s">
        <v>270</v>
      </c>
    </row>
    <row r="63">
      <c r="A63" s="127"/>
      <c r="B63" s="130" t="s">
        <v>273</v>
      </c>
    </row>
    <row r="64">
      <c r="A64" s="127"/>
      <c r="B64" s="130" t="s">
        <v>275</v>
      </c>
    </row>
    <row r="65">
      <c r="A65" s="127"/>
      <c r="B65" s="130" t="s">
        <v>276</v>
      </c>
    </row>
    <row r="66">
      <c r="A66" s="127"/>
      <c r="B66" s="130" t="s">
        <v>278</v>
      </c>
    </row>
    <row r="67">
      <c r="A67" s="127"/>
      <c r="B67" s="131" t="s">
        <v>281</v>
      </c>
    </row>
    <row r="68">
      <c r="A68" s="127"/>
      <c r="B68" s="130" t="s">
        <v>283</v>
      </c>
    </row>
    <row r="69">
      <c r="A69" s="127"/>
      <c r="B69" s="130" t="s">
        <v>285</v>
      </c>
    </row>
    <row r="70">
      <c r="A70" s="125"/>
      <c r="B70" s="130" t="s">
        <v>289</v>
      </c>
    </row>
    <row r="71">
      <c r="A71" s="127"/>
      <c r="B71" s="130" t="s">
        <v>292</v>
      </c>
    </row>
    <row r="72">
      <c r="A72" s="127"/>
      <c r="B72" s="130" t="s">
        <v>293</v>
      </c>
    </row>
    <row r="73">
      <c r="A73" s="127"/>
      <c r="B73" s="130" t="s">
        <v>297</v>
      </c>
    </row>
    <row r="74">
      <c r="A74" s="127"/>
      <c r="B74" s="130" t="s">
        <v>298</v>
      </c>
    </row>
    <row r="75">
      <c r="A75" s="127"/>
      <c r="B75" s="130" t="s">
        <v>300</v>
      </c>
    </row>
    <row r="76">
      <c r="A76" s="127"/>
      <c r="B76" s="131" t="s">
        <v>302</v>
      </c>
    </row>
    <row r="77">
      <c r="A77" s="127"/>
      <c r="B77" s="131" t="s">
        <v>303</v>
      </c>
    </row>
    <row r="78">
      <c r="A78" s="127"/>
      <c r="B78" s="130" t="s">
        <v>304</v>
      </c>
    </row>
    <row r="79">
      <c r="A79" s="127"/>
      <c r="B79" s="130" t="s">
        <v>306</v>
      </c>
    </row>
    <row r="80">
      <c r="A80" s="127"/>
      <c r="B80" s="130" t="s">
        <v>307</v>
      </c>
    </row>
    <row r="81">
      <c r="A81" s="127"/>
      <c r="B81" s="130" t="s">
        <v>97</v>
      </c>
    </row>
    <row r="82">
      <c r="A82" s="127"/>
      <c r="B82" s="130" t="s">
        <v>110</v>
      </c>
    </row>
    <row r="83">
      <c r="A83" s="127"/>
      <c r="B83" s="130" t="s">
        <v>308</v>
      </c>
    </row>
    <row r="84">
      <c r="A84" s="127"/>
      <c r="B84" s="130" t="s">
        <v>309</v>
      </c>
    </row>
    <row r="85">
      <c r="A85" s="127"/>
      <c r="B85" s="130" t="s">
        <v>311</v>
      </c>
    </row>
    <row r="86">
      <c r="A86" s="125"/>
      <c r="B86" s="130" t="s">
        <v>313</v>
      </c>
    </row>
    <row r="87">
      <c r="A87" s="127"/>
      <c r="B87" s="130" t="s">
        <v>315</v>
      </c>
    </row>
    <row r="88">
      <c r="A88" s="127"/>
      <c r="B88" s="130" t="s">
        <v>317</v>
      </c>
    </row>
    <row r="89">
      <c r="A89" s="39"/>
      <c r="B89" s="41"/>
    </row>
    <row r="90">
      <c r="A90" s="43">
        <f>SUM(A4:A88)</f>
        <v>7</v>
      </c>
    </row>
    <row r="91">
      <c r="A91" s="43">
        <f>COUNTIF(A4:A88,"&gt;0")</f>
        <v>7</v>
      </c>
    </row>
  </sheetData>
  <mergeCells count="2">
    <mergeCell ref="A1:A3"/>
    <mergeCell ref="B1:B2"/>
  </mergeCells>
  <conditionalFormatting sqref="B4:B88">
    <cfRule type="expression" dxfId="6" priority="1">
      <formula>$A4&gt;0</formula>
    </cfRule>
  </conditionalFormatting>
  <dataValidations>
    <dataValidation type="list" allowBlank="1" showErrorMessage="1" sqref="A4:A88">
      <formula1>'Ricette dei preparati'!$A$3:$A$23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22.13"/>
  </cols>
  <sheetData>
    <row r="1">
      <c r="A1" s="1" t="s">
        <v>5</v>
      </c>
      <c r="B1" s="2"/>
      <c r="D1" s="122" t="s">
        <v>497</v>
      </c>
    </row>
    <row r="3">
      <c r="B3" s="2" t="s">
        <v>8</v>
      </c>
    </row>
    <row r="4">
      <c r="A4" s="125">
        <v>1.0</v>
      </c>
      <c r="B4" s="130" t="s">
        <v>161</v>
      </c>
    </row>
    <row r="5">
      <c r="A5" s="125">
        <v>1.0</v>
      </c>
      <c r="B5" s="130" t="s">
        <v>163</v>
      </c>
    </row>
    <row r="6">
      <c r="A6" s="125">
        <v>1.0</v>
      </c>
      <c r="B6" s="130" t="s">
        <v>168</v>
      </c>
    </row>
    <row r="7">
      <c r="A7" s="125">
        <v>1.0</v>
      </c>
      <c r="B7" s="130" t="s">
        <v>174</v>
      </c>
    </row>
    <row r="8">
      <c r="A8" s="125">
        <v>1.0</v>
      </c>
      <c r="B8" s="130" t="s">
        <v>176</v>
      </c>
    </row>
    <row r="9">
      <c r="A9" s="125">
        <v>1.0</v>
      </c>
      <c r="B9" s="131" t="s">
        <v>178</v>
      </c>
    </row>
    <row r="10">
      <c r="A10" s="125">
        <v>1.0</v>
      </c>
      <c r="B10" s="130" t="s">
        <v>180</v>
      </c>
    </row>
    <row r="11">
      <c r="A11" s="125">
        <v>1.0</v>
      </c>
      <c r="B11" s="130" t="s">
        <v>71</v>
      </c>
    </row>
    <row r="12">
      <c r="A12" s="125"/>
      <c r="B12" s="130" t="s">
        <v>23</v>
      </c>
    </row>
    <row r="13">
      <c r="A13" s="125"/>
      <c r="B13" s="130" t="s">
        <v>184</v>
      </c>
    </row>
    <row r="14">
      <c r="A14" s="125"/>
      <c r="B14" s="131" t="s">
        <v>31</v>
      </c>
    </row>
    <row r="15">
      <c r="A15" s="125"/>
      <c r="B15" s="130" t="s">
        <v>44</v>
      </c>
    </row>
    <row r="16">
      <c r="A16" s="125"/>
      <c r="B16" s="130" t="s">
        <v>140</v>
      </c>
    </row>
    <row r="17">
      <c r="A17" s="125"/>
      <c r="B17" s="130" t="s">
        <v>187</v>
      </c>
    </row>
    <row r="18">
      <c r="A18" s="125"/>
      <c r="B18" s="130" t="s">
        <v>190</v>
      </c>
    </row>
    <row r="19">
      <c r="A19" s="125"/>
      <c r="B19" s="130" t="s">
        <v>193</v>
      </c>
    </row>
    <row r="20">
      <c r="A20" s="125"/>
      <c r="B20" s="130" t="s">
        <v>65</v>
      </c>
    </row>
    <row r="21">
      <c r="A21" s="125"/>
      <c r="B21" s="130" t="s">
        <v>197</v>
      </c>
    </row>
    <row r="22">
      <c r="A22" s="125"/>
      <c r="B22" s="130" t="s">
        <v>150</v>
      </c>
    </row>
    <row r="23">
      <c r="A23" s="125"/>
      <c r="B23" s="130" t="s">
        <v>200</v>
      </c>
    </row>
    <row r="24">
      <c r="A24" s="125"/>
      <c r="B24" s="130" t="s">
        <v>204</v>
      </c>
    </row>
    <row r="25">
      <c r="A25" s="125"/>
      <c r="B25" s="130" t="s">
        <v>208</v>
      </c>
    </row>
    <row r="26">
      <c r="A26" s="125"/>
      <c r="B26" s="130" t="s">
        <v>211</v>
      </c>
    </row>
    <row r="27">
      <c r="A27" s="125"/>
      <c r="B27" s="130" t="s">
        <v>215</v>
      </c>
    </row>
    <row r="28">
      <c r="A28" s="125"/>
      <c r="B28" s="130" t="s">
        <v>102</v>
      </c>
    </row>
    <row r="29">
      <c r="A29" s="125"/>
      <c r="B29" s="130" t="s">
        <v>38</v>
      </c>
    </row>
    <row r="30">
      <c r="A30" s="125"/>
      <c r="B30" s="130" t="s">
        <v>218</v>
      </c>
    </row>
    <row r="31">
      <c r="A31" s="125"/>
      <c r="B31" s="130" t="s">
        <v>221</v>
      </c>
    </row>
    <row r="32">
      <c r="A32" s="125"/>
      <c r="B32" s="130" t="s">
        <v>223</v>
      </c>
    </row>
    <row r="33">
      <c r="A33" s="125"/>
      <c r="B33" s="131" t="s">
        <v>225</v>
      </c>
    </row>
    <row r="34">
      <c r="A34" s="125"/>
      <c r="B34" s="130" t="s">
        <v>226</v>
      </c>
    </row>
    <row r="35">
      <c r="A35" s="125"/>
      <c r="B35" s="130" t="s">
        <v>228</v>
      </c>
    </row>
    <row r="36">
      <c r="A36" s="127"/>
      <c r="B36" s="130" t="s">
        <v>230</v>
      </c>
    </row>
    <row r="37">
      <c r="A37" s="127"/>
      <c r="B37" s="130" t="s">
        <v>232</v>
      </c>
    </row>
    <row r="38">
      <c r="A38" s="127"/>
      <c r="B38" s="130" t="s">
        <v>234</v>
      </c>
    </row>
    <row r="39">
      <c r="A39" s="127"/>
      <c r="B39" s="130" t="s">
        <v>235</v>
      </c>
    </row>
    <row r="40">
      <c r="A40" s="127"/>
      <c r="B40" s="130" t="s">
        <v>491</v>
      </c>
    </row>
    <row r="41">
      <c r="A41" s="127"/>
      <c r="B41" s="130" t="s">
        <v>237</v>
      </c>
    </row>
    <row r="42">
      <c r="A42" s="125"/>
      <c r="B42" s="130" t="s">
        <v>240</v>
      </c>
    </row>
    <row r="43">
      <c r="A43" s="125"/>
      <c r="B43" s="131" t="s">
        <v>137</v>
      </c>
    </row>
    <row r="44">
      <c r="A44" s="125"/>
      <c r="B44" s="131" t="s">
        <v>94</v>
      </c>
    </row>
    <row r="45">
      <c r="A45" s="127"/>
      <c r="B45" s="130" t="s">
        <v>241</v>
      </c>
    </row>
    <row r="46">
      <c r="A46" s="127"/>
      <c r="B46" s="130" t="s">
        <v>242</v>
      </c>
    </row>
    <row r="47">
      <c r="A47" s="127"/>
      <c r="B47" s="130" t="s">
        <v>112</v>
      </c>
    </row>
    <row r="48">
      <c r="A48" s="125"/>
      <c r="B48" s="130" t="s">
        <v>245</v>
      </c>
    </row>
    <row r="49">
      <c r="A49" s="125"/>
      <c r="B49" s="130" t="s">
        <v>490</v>
      </c>
    </row>
    <row r="50">
      <c r="A50" s="127"/>
      <c r="B50" s="130" t="s">
        <v>246</v>
      </c>
    </row>
    <row r="51">
      <c r="A51" s="125"/>
      <c r="B51" s="130" t="s">
        <v>250</v>
      </c>
    </row>
    <row r="52">
      <c r="A52" s="127"/>
      <c r="B52" s="130" t="s">
        <v>251</v>
      </c>
    </row>
    <row r="53">
      <c r="A53" s="127"/>
      <c r="B53" s="130" t="s">
        <v>254</v>
      </c>
    </row>
    <row r="54">
      <c r="A54" s="127"/>
      <c r="B54" s="130" t="s">
        <v>256</v>
      </c>
    </row>
    <row r="55">
      <c r="A55" s="127"/>
      <c r="B55" s="130" t="s">
        <v>257</v>
      </c>
    </row>
    <row r="56">
      <c r="A56" s="127"/>
      <c r="B56" s="130" t="s">
        <v>259</v>
      </c>
    </row>
    <row r="57">
      <c r="A57" s="127"/>
      <c r="B57" s="130" t="s">
        <v>143</v>
      </c>
    </row>
    <row r="58">
      <c r="A58" s="125"/>
      <c r="B58" s="130" t="s">
        <v>99</v>
      </c>
    </row>
    <row r="59">
      <c r="A59" s="125"/>
      <c r="B59" s="131" t="s">
        <v>147</v>
      </c>
    </row>
    <row r="60">
      <c r="A60" s="127"/>
      <c r="B60" s="130" t="s">
        <v>261</v>
      </c>
    </row>
    <row r="61">
      <c r="A61" s="127"/>
      <c r="B61" s="130" t="s">
        <v>262</v>
      </c>
    </row>
    <row r="62">
      <c r="A62" s="127"/>
      <c r="B62" s="130" t="s">
        <v>264</v>
      </c>
    </row>
    <row r="63">
      <c r="A63" s="127"/>
      <c r="B63" s="131" t="s">
        <v>265</v>
      </c>
    </row>
    <row r="64">
      <c r="A64" s="127"/>
      <c r="B64" s="130" t="s">
        <v>267</v>
      </c>
    </row>
    <row r="65">
      <c r="A65" s="127"/>
      <c r="B65" s="130" t="s">
        <v>268</v>
      </c>
    </row>
    <row r="66">
      <c r="A66" s="127"/>
      <c r="B66" s="130" t="s">
        <v>269</v>
      </c>
    </row>
    <row r="67">
      <c r="A67" s="127"/>
      <c r="B67" s="130" t="s">
        <v>270</v>
      </c>
    </row>
    <row r="68">
      <c r="A68" s="127"/>
      <c r="B68" s="130" t="s">
        <v>273</v>
      </c>
    </row>
    <row r="69">
      <c r="A69" s="127"/>
      <c r="B69" s="130" t="s">
        <v>275</v>
      </c>
    </row>
    <row r="70">
      <c r="A70" s="127"/>
      <c r="B70" s="130" t="s">
        <v>276</v>
      </c>
    </row>
    <row r="71">
      <c r="A71" s="127"/>
      <c r="B71" s="130" t="s">
        <v>278</v>
      </c>
    </row>
    <row r="72">
      <c r="A72" s="127"/>
      <c r="B72" s="131" t="s">
        <v>281</v>
      </c>
    </row>
    <row r="73">
      <c r="A73" s="127"/>
      <c r="B73" s="130" t="s">
        <v>283</v>
      </c>
    </row>
    <row r="74">
      <c r="A74" s="127"/>
      <c r="B74" s="130" t="s">
        <v>285</v>
      </c>
    </row>
    <row r="75">
      <c r="A75" s="125"/>
      <c r="B75" s="130" t="s">
        <v>289</v>
      </c>
    </row>
    <row r="76">
      <c r="A76" s="127"/>
      <c r="B76" s="130" t="s">
        <v>292</v>
      </c>
    </row>
    <row r="77">
      <c r="A77" s="127"/>
      <c r="B77" s="130" t="s">
        <v>293</v>
      </c>
    </row>
    <row r="78">
      <c r="A78" s="127"/>
      <c r="B78" s="130" t="s">
        <v>297</v>
      </c>
    </row>
    <row r="79">
      <c r="A79" s="127"/>
      <c r="B79" s="130" t="s">
        <v>298</v>
      </c>
    </row>
    <row r="80">
      <c r="A80" s="127"/>
      <c r="B80" s="130" t="s">
        <v>300</v>
      </c>
    </row>
    <row r="81">
      <c r="A81" s="127"/>
      <c r="B81" s="131" t="s">
        <v>302</v>
      </c>
    </row>
    <row r="82">
      <c r="A82" s="127"/>
      <c r="B82" s="131" t="s">
        <v>303</v>
      </c>
    </row>
    <row r="83">
      <c r="A83" s="127"/>
      <c r="B83" s="130" t="s">
        <v>304</v>
      </c>
    </row>
    <row r="84">
      <c r="A84" s="127"/>
      <c r="B84" s="130" t="s">
        <v>306</v>
      </c>
    </row>
    <row r="85">
      <c r="A85" s="127"/>
      <c r="B85" s="130" t="s">
        <v>307</v>
      </c>
    </row>
    <row r="86">
      <c r="A86" s="127"/>
      <c r="B86" s="130" t="s">
        <v>97</v>
      </c>
    </row>
    <row r="87">
      <c r="A87" s="127"/>
      <c r="B87" s="130" t="s">
        <v>110</v>
      </c>
    </row>
    <row r="88">
      <c r="A88" s="127"/>
      <c r="B88" s="130" t="s">
        <v>308</v>
      </c>
    </row>
    <row r="89">
      <c r="A89" s="127"/>
      <c r="B89" s="130" t="s">
        <v>309</v>
      </c>
    </row>
    <row r="90">
      <c r="A90" s="127"/>
      <c r="B90" s="130" t="s">
        <v>311</v>
      </c>
    </row>
    <row r="91">
      <c r="A91" s="125"/>
      <c r="B91" s="130" t="s">
        <v>313</v>
      </c>
    </row>
    <row r="92">
      <c r="A92" s="127"/>
      <c r="B92" s="130" t="s">
        <v>315</v>
      </c>
    </row>
    <row r="93">
      <c r="A93" s="127"/>
      <c r="B93" s="130" t="s">
        <v>317</v>
      </c>
    </row>
    <row r="94">
      <c r="A94" s="39"/>
      <c r="B94" s="41"/>
    </row>
    <row r="95">
      <c r="A95" s="43">
        <f>SUM(A4:A93)</f>
        <v>8</v>
      </c>
    </row>
    <row r="96">
      <c r="A96" s="43">
        <f>COUNTIF(A4:A93,"&gt;0")</f>
        <v>8</v>
      </c>
    </row>
  </sheetData>
  <mergeCells count="2">
    <mergeCell ref="A1:A3"/>
    <mergeCell ref="B1:B2"/>
  </mergeCells>
  <conditionalFormatting sqref="B4:B93">
    <cfRule type="expression" dxfId="6" priority="1">
      <formula>$A4&gt;0</formula>
    </cfRule>
  </conditionalFormatting>
  <dataValidations>
    <dataValidation type="list" allowBlank="1" showErrorMessage="1" sqref="A4:A93">
      <formula1>'Ricette dei preparati'!$A$3:$A$23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23.38"/>
  </cols>
  <sheetData>
    <row r="1">
      <c r="A1" s="1"/>
      <c r="B1" s="2"/>
      <c r="D1" s="122" t="s">
        <v>498</v>
      </c>
    </row>
    <row r="2">
      <c r="A2" s="1"/>
      <c r="B2" s="2"/>
    </row>
    <row r="3" ht="22.5" customHeight="1">
      <c r="A3" s="12" t="s">
        <v>5</v>
      </c>
      <c r="B3" s="14" t="s">
        <v>8</v>
      </c>
    </row>
    <row r="4" ht="22.5" customHeight="1">
      <c r="A4" s="20">
        <v>1.0</v>
      </c>
      <c r="B4" s="33" t="s">
        <v>147</v>
      </c>
    </row>
    <row r="5" ht="22.5" customHeight="1">
      <c r="A5" s="20">
        <v>1.0</v>
      </c>
      <c r="B5" s="23" t="s">
        <v>150</v>
      </c>
    </row>
    <row r="6" ht="22.5" customHeight="1">
      <c r="A6" s="20">
        <v>1.0</v>
      </c>
      <c r="B6" s="23" t="s">
        <v>38</v>
      </c>
    </row>
    <row r="7" ht="22.5" customHeight="1">
      <c r="A7" s="20">
        <v>1.0</v>
      </c>
      <c r="B7" s="23" t="s">
        <v>154</v>
      </c>
    </row>
    <row r="8" ht="22.5" customHeight="1">
      <c r="A8" s="20">
        <v>1.0</v>
      </c>
      <c r="B8" s="23" t="s">
        <v>71</v>
      </c>
    </row>
    <row r="9" ht="22.5" customHeight="1">
      <c r="A9" s="20">
        <v>1.0</v>
      </c>
      <c r="B9" s="23" t="s">
        <v>51</v>
      </c>
    </row>
    <row r="10" ht="22.5" customHeight="1">
      <c r="A10" s="20">
        <v>1.0</v>
      </c>
      <c r="B10" s="23" t="s">
        <v>158</v>
      </c>
    </row>
    <row r="11" ht="22.5" customHeight="1">
      <c r="A11" s="20"/>
      <c r="B11" s="23" t="s">
        <v>102</v>
      </c>
    </row>
    <row r="12" ht="22.5" customHeight="1">
      <c r="A12" s="20"/>
      <c r="B12" s="23" t="s">
        <v>161</v>
      </c>
    </row>
    <row r="13" ht="22.5" customHeight="1">
      <c r="A13" s="20"/>
      <c r="B13" s="23" t="s">
        <v>163</v>
      </c>
    </row>
    <row r="14" ht="22.5" customHeight="1">
      <c r="A14" s="20"/>
      <c r="B14" s="23" t="s">
        <v>168</v>
      </c>
    </row>
    <row r="15" ht="22.5" customHeight="1">
      <c r="A15" s="20"/>
      <c r="B15" s="23" t="s">
        <v>174</v>
      </c>
    </row>
    <row r="16" ht="22.5" customHeight="1">
      <c r="A16" s="20"/>
      <c r="B16" s="23" t="s">
        <v>176</v>
      </c>
    </row>
    <row r="17" ht="22.5" customHeight="1">
      <c r="A17" s="20"/>
      <c r="B17" s="33" t="s">
        <v>178</v>
      </c>
    </row>
    <row r="18" ht="22.5" customHeight="1">
      <c r="A18" s="20"/>
      <c r="B18" s="23" t="s">
        <v>180</v>
      </c>
    </row>
    <row r="19" ht="22.5" customHeight="1">
      <c r="A19" s="20"/>
      <c r="B19" s="23" t="s">
        <v>23</v>
      </c>
    </row>
    <row r="20" ht="22.5" customHeight="1">
      <c r="A20" s="20"/>
      <c r="B20" s="23" t="s">
        <v>184</v>
      </c>
    </row>
    <row r="21" ht="22.5" customHeight="1">
      <c r="A21" s="20"/>
      <c r="B21" s="33" t="s">
        <v>31</v>
      </c>
    </row>
    <row r="22" ht="22.5" customHeight="1">
      <c r="A22" s="20"/>
      <c r="B22" s="23" t="s">
        <v>44</v>
      </c>
    </row>
    <row r="23" ht="22.5" customHeight="1">
      <c r="A23" s="20"/>
      <c r="B23" s="23" t="s">
        <v>140</v>
      </c>
    </row>
    <row r="24" ht="22.5" customHeight="1">
      <c r="A24" s="20"/>
      <c r="B24" s="23" t="s">
        <v>187</v>
      </c>
    </row>
    <row r="25" ht="22.5" customHeight="1">
      <c r="A25" s="20"/>
      <c r="B25" s="23" t="s">
        <v>190</v>
      </c>
    </row>
    <row r="26" ht="22.5" customHeight="1">
      <c r="A26" s="20"/>
      <c r="B26" s="23" t="s">
        <v>193</v>
      </c>
    </row>
    <row r="27" ht="22.5" customHeight="1">
      <c r="A27" s="20"/>
      <c r="B27" s="23" t="s">
        <v>65</v>
      </c>
    </row>
    <row r="28" ht="22.5" customHeight="1">
      <c r="A28" s="20"/>
      <c r="B28" s="23" t="s">
        <v>197</v>
      </c>
    </row>
    <row r="29" ht="22.5" customHeight="1">
      <c r="A29" s="20"/>
      <c r="B29" s="23" t="s">
        <v>200</v>
      </c>
    </row>
    <row r="30" ht="22.5" customHeight="1">
      <c r="A30" s="20"/>
      <c r="B30" s="23" t="s">
        <v>204</v>
      </c>
    </row>
    <row r="31" ht="22.5" customHeight="1">
      <c r="A31" s="20"/>
      <c r="B31" s="23" t="s">
        <v>208</v>
      </c>
    </row>
    <row r="32" ht="22.5" customHeight="1">
      <c r="A32" s="20"/>
      <c r="B32" s="23" t="s">
        <v>211</v>
      </c>
    </row>
    <row r="33" ht="22.5" customHeight="1">
      <c r="A33" s="20"/>
      <c r="B33" s="23" t="s">
        <v>215</v>
      </c>
    </row>
    <row r="34" ht="22.5" customHeight="1">
      <c r="A34" s="20"/>
      <c r="B34" s="23" t="s">
        <v>218</v>
      </c>
    </row>
    <row r="35" ht="22.5" customHeight="1">
      <c r="A35" s="20"/>
      <c r="B35" s="23" t="s">
        <v>221</v>
      </c>
    </row>
    <row r="36" ht="22.5" customHeight="1">
      <c r="A36" s="20"/>
      <c r="B36" s="23" t="s">
        <v>223</v>
      </c>
    </row>
    <row r="37" ht="22.5" customHeight="1">
      <c r="A37" s="20"/>
      <c r="B37" s="33" t="s">
        <v>225</v>
      </c>
    </row>
    <row r="38" ht="22.5" customHeight="1">
      <c r="A38" s="20"/>
      <c r="B38" s="23" t="s">
        <v>226</v>
      </c>
    </row>
    <row r="39" ht="22.5" customHeight="1">
      <c r="A39" s="20"/>
      <c r="B39" s="23" t="s">
        <v>228</v>
      </c>
    </row>
    <row r="40" ht="22.5" customHeight="1">
      <c r="A40" s="63"/>
      <c r="B40" s="23" t="s">
        <v>230</v>
      </c>
    </row>
    <row r="41" ht="22.5" customHeight="1">
      <c r="A41" s="63"/>
      <c r="B41" s="23" t="s">
        <v>232</v>
      </c>
    </row>
    <row r="42" ht="22.5" customHeight="1">
      <c r="A42" s="63"/>
      <c r="B42" s="23" t="s">
        <v>234</v>
      </c>
    </row>
    <row r="43" ht="22.5" customHeight="1">
      <c r="A43" s="63"/>
      <c r="B43" s="23" t="s">
        <v>235</v>
      </c>
    </row>
    <row r="44" ht="22.5" customHeight="1">
      <c r="A44" s="63"/>
      <c r="B44" s="23" t="s">
        <v>491</v>
      </c>
    </row>
    <row r="45" ht="22.5" customHeight="1">
      <c r="A45" s="63"/>
      <c r="B45" s="23" t="s">
        <v>237</v>
      </c>
    </row>
    <row r="46" ht="22.5" customHeight="1">
      <c r="A46" s="20"/>
      <c r="B46" s="23" t="s">
        <v>240</v>
      </c>
    </row>
    <row r="47" ht="22.5" customHeight="1">
      <c r="A47" s="20"/>
      <c r="B47" s="33" t="s">
        <v>137</v>
      </c>
    </row>
    <row r="48" ht="22.5" customHeight="1">
      <c r="A48" s="20"/>
      <c r="B48" s="33" t="s">
        <v>94</v>
      </c>
    </row>
    <row r="49" ht="22.5" customHeight="1">
      <c r="A49" s="63"/>
      <c r="B49" s="23" t="s">
        <v>241</v>
      </c>
    </row>
    <row r="50" ht="22.5" customHeight="1">
      <c r="A50" s="63"/>
      <c r="B50" s="23" t="s">
        <v>242</v>
      </c>
    </row>
    <row r="51" ht="22.5" customHeight="1">
      <c r="A51" s="63"/>
      <c r="B51" s="23" t="s">
        <v>112</v>
      </c>
    </row>
    <row r="52" ht="22.5" customHeight="1">
      <c r="A52" s="20"/>
      <c r="B52" s="23" t="s">
        <v>245</v>
      </c>
    </row>
    <row r="53" ht="22.5" customHeight="1">
      <c r="A53" s="63"/>
      <c r="B53" s="23" t="s">
        <v>246</v>
      </c>
    </row>
    <row r="54" ht="22.5" customHeight="1">
      <c r="A54" s="20"/>
      <c r="B54" s="23" t="s">
        <v>250</v>
      </c>
    </row>
    <row r="55" ht="22.5" customHeight="1">
      <c r="A55" s="63"/>
      <c r="B55" s="23" t="s">
        <v>251</v>
      </c>
    </row>
    <row r="56" ht="22.5" customHeight="1">
      <c r="A56" s="63"/>
      <c r="B56" s="23" t="s">
        <v>254</v>
      </c>
    </row>
    <row r="57" ht="22.5" customHeight="1">
      <c r="A57" s="63"/>
      <c r="B57" s="23" t="s">
        <v>256</v>
      </c>
    </row>
    <row r="58" ht="22.5" customHeight="1">
      <c r="A58" s="63"/>
      <c r="B58" s="23" t="s">
        <v>257</v>
      </c>
    </row>
    <row r="59" ht="22.5" customHeight="1">
      <c r="A59" s="63"/>
      <c r="B59" s="23" t="s">
        <v>259</v>
      </c>
    </row>
    <row r="60" ht="22.5" customHeight="1">
      <c r="A60" s="63"/>
      <c r="B60" s="23" t="s">
        <v>143</v>
      </c>
    </row>
    <row r="61" ht="22.5" customHeight="1">
      <c r="A61" s="20"/>
      <c r="B61" s="23" t="s">
        <v>99</v>
      </c>
    </row>
    <row r="62" ht="22.5" customHeight="1">
      <c r="A62" s="63"/>
      <c r="B62" s="23" t="s">
        <v>261</v>
      </c>
    </row>
    <row r="63" ht="22.5" customHeight="1">
      <c r="A63" s="63"/>
      <c r="B63" s="23" t="s">
        <v>262</v>
      </c>
    </row>
    <row r="64" ht="22.5" customHeight="1">
      <c r="A64" s="63"/>
      <c r="B64" s="23" t="s">
        <v>264</v>
      </c>
    </row>
    <row r="65" ht="22.5" customHeight="1">
      <c r="A65" s="63"/>
      <c r="B65" s="33" t="s">
        <v>265</v>
      </c>
    </row>
    <row r="66" ht="22.5" customHeight="1">
      <c r="A66" s="63"/>
      <c r="B66" s="23" t="s">
        <v>267</v>
      </c>
    </row>
    <row r="67" ht="22.5" customHeight="1">
      <c r="A67" s="63"/>
      <c r="B67" s="23" t="s">
        <v>268</v>
      </c>
    </row>
    <row r="68" ht="22.5" customHeight="1">
      <c r="A68" s="63"/>
      <c r="B68" s="23" t="s">
        <v>269</v>
      </c>
    </row>
    <row r="69" ht="22.5" customHeight="1">
      <c r="A69" s="63"/>
      <c r="B69" s="23" t="s">
        <v>270</v>
      </c>
    </row>
    <row r="70" ht="22.5" customHeight="1">
      <c r="A70" s="63"/>
      <c r="B70" s="23" t="s">
        <v>273</v>
      </c>
    </row>
    <row r="71" ht="22.5" customHeight="1">
      <c r="A71" s="63"/>
      <c r="B71" s="23" t="s">
        <v>275</v>
      </c>
    </row>
    <row r="72" ht="22.5" customHeight="1">
      <c r="A72" s="63"/>
      <c r="B72" s="23" t="s">
        <v>276</v>
      </c>
    </row>
    <row r="73" ht="22.5" customHeight="1">
      <c r="A73" s="63"/>
      <c r="B73" s="23" t="s">
        <v>278</v>
      </c>
    </row>
    <row r="74" ht="22.5" customHeight="1">
      <c r="A74" s="63"/>
      <c r="B74" s="33" t="s">
        <v>281</v>
      </c>
    </row>
    <row r="75" ht="22.5" customHeight="1">
      <c r="A75" s="63"/>
      <c r="B75" s="23" t="s">
        <v>283</v>
      </c>
    </row>
    <row r="76" ht="22.5" customHeight="1">
      <c r="A76" s="63"/>
      <c r="B76" s="23" t="s">
        <v>285</v>
      </c>
    </row>
    <row r="77" ht="22.5" customHeight="1">
      <c r="A77" s="20"/>
      <c r="B77" s="23" t="s">
        <v>289</v>
      </c>
    </row>
    <row r="78" ht="22.5" customHeight="1">
      <c r="A78" s="63"/>
      <c r="B78" s="23" t="s">
        <v>292</v>
      </c>
    </row>
    <row r="79" ht="22.5" customHeight="1">
      <c r="A79" s="63"/>
      <c r="B79" s="23" t="s">
        <v>293</v>
      </c>
    </row>
    <row r="80" ht="22.5" customHeight="1">
      <c r="A80" s="63"/>
      <c r="B80" s="23" t="s">
        <v>297</v>
      </c>
    </row>
    <row r="81" ht="22.5" customHeight="1">
      <c r="A81" s="63"/>
      <c r="B81" s="23" t="s">
        <v>298</v>
      </c>
    </row>
    <row r="82" ht="22.5" customHeight="1">
      <c r="A82" s="63"/>
      <c r="B82" s="23" t="s">
        <v>300</v>
      </c>
    </row>
    <row r="83" ht="22.5" customHeight="1">
      <c r="A83" s="63"/>
      <c r="B83" s="33" t="s">
        <v>302</v>
      </c>
    </row>
    <row r="84" ht="22.5" customHeight="1">
      <c r="A84" s="63"/>
      <c r="B84" s="33" t="s">
        <v>303</v>
      </c>
    </row>
    <row r="85" ht="22.5" customHeight="1">
      <c r="A85" s="63"/>
      <c r="B85" s="23" t="s">
        <v>304</v>
      </c>
    </row>
    <row r="86" ht="22.5" customHeight="1">
      <c r="A86" s="63"/>
      <c r="B86" s="23" t="s">
        <v>306</v>
      </c>
    </row>
    <row r="87" ht="22.5" customHeight="1">
      <c r="A87" s="63"/>
      <c r="B87" s="23" t="s">
        <v>307</v>
      </c>
    </row>
    <row r="88" ht="22.5" customHeight="1">
      <c r="A88" s="63"/>
      <c r="B88" s="23" t="s">
        <v>97</v>
      </c>
    </row>
    <row r="89" ht="22.5" customHeight="1">
      <c r="A89" s="63"/>
      <c r="B89" s="23" t="s">
        <v>110</v>
      </c>
    </row>
    <row r="90" ht="22.5" customHeight="1">
      <c r="A90" s="63"/>
      <c r="B90" s="23" t="s">
        <v>308</v>
      </c>
    </row>
    <row r="91" ht="22.5" customHeight="1">
      <c r="A91" s="63"/>
      <c r="B91" s="23" t="s">
        <v>309</v>
      </c>
    </row>
    <row r="92" ht="22.5" customHeight="1">
      <c r="A92" s="63"/>
      <c r="B92" s="23" t="s">
        <v>311</v>
      </c>
    </row>
    <row r="93" ht="22.5" customHeight="1">
      <c r="A93" s="20"/>
      <c r="B93" s="23" t="s">
        <v>313</v>
      </c>
    </row>
    <row r="94" ht="22.5" customHeight="1">
      <c r="A94" s="63"/>
      <c r="B94" s="23" t="s">
        <v>315</v>
      </c>
    </row>
    <row r="95" ht="22.5" customHeight="1">
      <c r="A95" s="63"/>
      <c r="B95" s="23" t="s">
        <v>317</v>
      </c>
    </row>
    <row r="96">
      <c r="A96" s="39"/>
      <c r="B96" s="41"/>
    </row>
    <row r="97">
      <c r="A97" s="43">
        <f>SUM(A4:A95)</f>
        <v>7</v>
      </c>
    </row>
    <row r="98">
      <c r="A98" s="43">
        <f>COUNTIF(A4:A95,"&gt;0")</f>
        <v>7</v>
      </c>
    </row>
  </sheetData>
  <conditionalFormatting sqref="B4:B95">
    <cfRule type="expression" dxfId="6" priority="1">
      <formula>$A4&gt;0</formula>
    </cfRule>
  </conditionalFormatting>
  <dataValidations>
    <dataValidation type="list" allowBlank="1" showErrorMessage="1" sqref="A4:A95">
      <formula1>#REF!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23.38"/>
  </cols>
  <sheetData>
    <row r="1">
      <c r="A1" s="1"/>
      <c r="B1" s="2"/>
      <c r="D1" s="132" t="s">
        <v>499</v>
      </c>
    </row>
    <row r="2">
      <c r="A2" s="1"/>
      <c r="B2" s="2"/>
    </row>
    <row r="3" ht="22.5" customHeight="1">
      <c r="A3" s="12" t="s">
        <v>5</v>
      </c>
      <c r="B3" s="14" t="s">
        <v>8</v>
      </c>
    </row>
    <row r="4" ht="22.5" customHeight="1">
      <c r="A4" s="20">
        <v>1.0</v>
      </c>
      <c r="B4" s="23" t="s">
        <v>102</v>
      </c>
    </row>
    <row r="5" ht="22.5" customHeight="1">
      <c r="A5" s="20">
        <v>1.0</v>
      </c>
      <c r="B5" s="33" t="s">
        <v>137</v>
      </c>
    </row>
    <row r="6" ht="22.5" customHeight="1">
      <c r="A6" s="20">
        <v>1.0</v>
      </c>
      <c r="B6" s="23" t="s">
        <v>57</v>
      </c>
    </row>
    <row r="7" ht="22.5" customHeight="1">
      <c r="A7" s="20">
        <v>1.0</v>
      </c>
      <c r="B7" s="23" t="s">
        <v>140</v>
      </c>
    </row>
    <row r="8" ht="22.5" customHeight="1">
      <c r="A8" s="20">
        <v>1.0</v>
      </c>
      <c r="B8" s="23" t="s">
        <v>143</v>
      </c>
    </row>
    <row r="9" ht="22.5" customHeight="1">
      <c r="A9" s="20"/>
      <c r="B9" s="23" t="s">
        <v>38</v>
      </c>
    </row>
    <row r="10" ht="22.5" customHeight="1">
      <c r="A10" s="20"/>
      <c r="B10" s="33" t="s">
        <v>147</v>
      </c>
    </row>
    <row r="11" ht="22.5" customHeight="1">
      <c r="A11" s="20"/>
      <c r="B11" s="23" t="s">
        <v>150</v>
      </c>
    </row>
    <row r="12" ht="22.5" customHeight="1">
      <c r="A12" s="20"/>
      <c r="B12" s="23" t="s">
        <v>154</v>
      </c>
    </row>
    <row r="13" ht="22.5" customHeight="1">
      <c r="A13" s="20"/>
      <c r="B13" s="23" t="s">
        <v>51</v>
      </c>
    </row>
    <row r="14" ht="22.5" customHeight="1">
      <c r="A14" s="20"/>
      <c r="B14" s="23" t="s">
        <v>71</v>
      </c>
    </row>
    <row r="15" ht="22.5" customHeight="1">
      <c r="A15" s="20"/>
      <c r="B15" s="23" t="s">
        <v>158</v>
      </c>
    </row>
    <row r="16" ht="22.5" customHeight="1">
      <c r="A16" s="20"/>
      <c r="B16" s="23" t="s">
        <v>161</v>
      </c>
    </row>
    <row r="17" ht="22.5" customHeight="1">
      <c r="A17" s="20"/>
      <c r="B17" s="23" t="s">
        <v>163</v>
      </c>
    </row>
    <row r="18" ht="22.5" customHeight="1">
      <c r="A18" s="20"/>
      <c r="B18" s="23" t="s">
        <v>168</v>
      </c>
    </row>
    <row r="19" ht="22.5" customHeight="1">
      <c r="A19" s="20"/>
      <c r="B19" s="23" t="s">
        <v>174</v>
      </c>
    </row>
    <row r="20" ht="22.5" customHeight="1">
      <c r="A20" s="20"/>
      <c r="B20" s="23" t="s">
        <v>176</v>
      </c>
    </row>
    <row r="21" ht="22.5" customHeight="1">
      <c r="A21" s="20"/>
      <c r="B21" s="33" t="s">
        <v>178</v>
      </c>
    </row>
    <row r="22" ht="22.5" customHeight="1">
      <c r="A22" s="20"/>
      <c r="B22" s="23" t="s">
        <v>180</v>
      </c>
    </row>
    <row r="23" ht="22.5" customHeight="1">
      <c r="A23" s="20"/>
      <c r="B23" s="23" t="s">
        <v>23</v>
      </c>
    </row>
    <row r="24" ht="22.5" customHeight="1">
      <c r="A24" s="20"/>
      <c r="B24" s="23" t="s">
        <v>184</v>
      </c>
    </row>
    <row r="25" ht="22.5" customHeight="1">
      <c r="A25" s="20"/>
      <c r="B25" s="33" t="s">
        <v>31</v>
      </c>
    </row>
    <row r="26" ht="22.5" customHeight="1">
      <c r="A26" s="20"/>
      <c r="B26" s="23" t="s">
        <v>44</v>
      </c>
    </row>
    <row r="27" ht="22.5" customHeight="1">
      <c r="A27" s="20"/>
      <c r="B27" s="23" t="s">
        <v>187</v>
      </c>
    </row>
    <row r="28" ht="22.5" customHeight="1">
      <c r="A28" s="20"/>
      <c r="B28" s="23" t="s">
        <v>190</v>
      </c>
    </row>
    <row r="29" ht="22.5" customHeight="1">
      <c r="A29" s="20"/>
      <c r="B29" s="23" t="s">
        <v>193</v>
      </c>
    </row>
    <row r="30" ht="22.5" customHeight="1">
      <c r="A30" s="20"/>
      <c r="B30" s="23" t="s">
        <v>65</v>
      </c>
    </row>
    <row r="31" ht="22.5" customHeight="1">
      <c r="A31" s="20"/>
      <c r="B31" s="23" t="s">
        <v>197</v>
      </c>
    </row>
    <row r="32" ht="22.5" customHeight="1">
      <c r="A32" s="20"/>
      <c r="B32" s="23" t="s">
        <v>200</v>
      </c>
    </row>
    <row r="33" ht="22.5" customHeight="1">
      <c r="A33" s="20"/>
      <c r="B33" s="23" t="s">
        <v>204</v>
      </c>
    </row>
    <row r="34" ht="22.5" customHeight="1">
      <c r="A34" s="20"/>
      <c r="B34" s="23" t="s">
        <v>208</v>
      </c>
    </row>
    <row r="35" ht="22.5" customHeight="1">
      <c r="A35" s="20"/>
      <c r="B35" s="23" t="s">
        <v>211</v>
      </c>
    </row>
    <row r="36" ht="22.5" customHeight="1">
      <c r="A36" s="20"/>
      <c r="B36" s="23" t="s">
        <v>215</v>
      </c>
    </row>
    <row r="37" ht="22.5" customHeight="1">
      <c r="A37" s="20"/>
      <c r="B37" s="23" t="s">
        <v>218</v>
      </c>
    </row>
    <row r="38" ht="22.5" customHeight="1">
      <c r="A38" s="20"/>
      <c r="B38" s="23" t="s">
        <v>221</v>
      </c>
    </row>
    <row r="39" ht="22.5" customHeight="1">
      <c r="A39" s="20"/>
      <c r="B39" s="23" t="s">
        <v>223</v>
      </c>
    </row>
    <row r="40" ht="22.5" customHeight="1">
      <c r="A40" s="20"/>
      <c r="B40" s="33" t="s">
        <v>225</v>
      </c>
    </row>
    <row r="41" ht="22.5" customHeight="1">
      <c r="A41" s="20"/>
      <c r="B41" s="23" t="s">
        <v>226</v>
      </c>
    </row>
    <row r="42" ht="22.5" customHeight="1">
      <c r="A42" s="20"/>
      <c r="B42" s="23" t="s">
        <v>228</v>
      </c>
    </row>
    <row r="43" ht="22.5" customHeight="1">
      <c r="A43" s="63"/>
      <c r="B43" s="23" t="s">
        <v>230</v>
      </c>
    </row>
    <row r="44" ht="22.5" customHeight="1">
      <c r="A44" s="63"/>
      <c r="B44" s="23" t="s">
        <v>232</v>
      </c>
    </row>
    <row r="45" ht="22.5" customHeight="1">
      <c r="A45" s="63"/>
      <c r="B45" s="23" t="s">
        <v>234</v>
      </c>
    </row>
    <row r="46" ht="22.5" customHeight="1">
      <c r="A46" s="63"/>
      <c r="B46" s="23" t="s">
        <v>235</v>
      </c>
    </row>
    <row r="47" ht="22.5" customHeight="1">
      <c r="A47" s="63"/>
      <c r="B47" s="23" t="s">
        <v>491</v>
      </c>
    </row>
    <row r="48" ht="22.5" customHeight="1">
      <c r="A48" s="63"/>
      <c r="B48" s="23" t="s">
        <v>237</v>
      </c>
    </row>
    <row r="49" ht="22.5" customHeight="1">
      <c r="A49" s="20"/>
      <c r="B49" s="23" t="s">
        <v>240</v>
      </c>
    </row>
    <row r="50" ht="22.5" customHeight="1">
      <c r="A50" s="20"/>
      <c r="B50" s="33" t="s">
        <v>94</v>
      </c>
    </row>
    <row r="51" ht="22.5" customHeight="1">
      <c r="A51" s="63"/>
      <c r="B51" s="23" t="s">
        <v>241</v>
      </c>
    </row>
    <row r="52" ht="22.5" customHeight="1">
      <c r="A52" s="63"/>
      <c r="B52" s="23" t="s">
        <v>242</v>
      </c>
    </row>
    <row r="53" ht="22.5" customHeight="1">
      <c r="A53" s="63"/>
      <c r="B53" s="23" t="s">
        <v>112</v>
      </c>
    </row>
    <row r="54" ht="22.5" customHeight="1">
      <c r="A54" s="20"/>
      <c r="B54" s="23" t="s">
        <v>245</v>
      </c>
    </row>
    <row r="55" ht="22.5" customHeight="1">
      <c r="A55" s="63"/>
      <c r="B55" s="23" t="s">
        <v>246</v>
      </c>
    </row>
    <row r="56" ht="22.5" customHeight="1">
      <c r="A56" s="20"/>
      <c r="B56" s="23" t="s">
        <v>250</v>
      </c>
    </row>
    <row r="57" ht="22.5" customHeight="1">
      <c r="A57" s="63"/>
      <c r="B57" s="23" t="s">
        <v>251</v>
      </c>
    </row>
    <row r="58" ht="22.5" customHeight="1">
      <c r="A58" s="63"/>
      <c r="B58" s="23" t="s">
        <v>254</v>
      </c>
    </row>
    <row r="59" ht="22.5" customHeight="1">
      <c r="A59" s="63"/>
      <c r="B59" s="23" t="s">
        <v>256</v>
      </c>
    </row>
    <row r="60" ht="22.5" customHeight="1">
      <c r="A60" s="63"/>
      <c r="B60" s="23" t="s">
        <v>257</v>
      </c>
    </row>
    <row r="61" ht="22.5" customHeight="1">
      <c r="A61" s="63"/>
      <c r="B61" s="23" t="s">
        <v>259</v>
      </c>
    </row>
    <row r="62" ht="22.5" customHeight="1">
      <c r="A62" s="20"/>
      <c r="B62" s="23" t="s">
        <v>99</v>
      </c>
    </row>
    <row r="63" ht="22.5" customHeight="1">
      <c r="A63" s="63"/>
      <c r="B63" s="23" t="s">
        <v>261</v>
      </c>
    </row>
    <row r="64" ht="22.5" customHeight="1">
      <c r="A64" s="63"/>
      <c r="B64" s="23" t="s">
        <v>262</v>
      </c>
    </row>
    <row r="65" ht="22.5" customHeight="1">
      <c r="A65" s="63"/>
      <c r="B65" s="23" t="s">
        <v>264</v>
      </c>
    </row>
    <row r="66" ht="22.5" customHeight="1">
      <c r="A66" s="63"/>
      <c r="B66" s="33" t="s">
        <v>265</v>
      </c>
    </row>
    <row r="67" ht="22.5" customHeight="1">
      <c r="A67" s="63"/>
      <c r="B67" s="23" t="s">
        <v>267</v>
      </c>
    </row>
    <row r="68" ht="22.5" customHeight="1">
      <c r="A68" s="63"/>
      <c r="B68" s="23" t="s">
        <v>268</v>
      </c>
    </row>
    <row r="69" ht="22.5" customHeight="1">
      <c r="A69" s="63"/>
      <c r="B69" s="23" t="s">
        <v>269</v>
      </c>
    </row>
    <row r="70" ht="22.5" customHeight="1">
      <c r="A70" s="63"/>
      <c r="B70" s="23" t="s">
        <v>270</v>
      </c>
    </row>
    <row r="71" ht="22.5" customHeight="1">
      <c r="A71" s="63"/>
      <c r="B71" s="23" t="s">
        <v>273</v>
      </c>
    </row>
    <row r="72" ht="22.5" customHeight="1">
      <c r="A72" s="63"/>
      <c r="B72" s="23" t="s">
        <v>275</v>
      </c>
    </row>
    <row r="73" ht="22.5" customHeight="1">
      <c r="A73" s="63"/>
      <c r="B73" s="23" t="s">
        <v>276</v>
      </c>
    </row>
    <row r="74" ht="22.5" customHeight="1">
      <c r="A74" s="63"/>
      <c r="B74" s="23" t="s">
        <v>278</v>
      </c>
    </row>
    <row r="75" ht="22.5" customHeight="1">
      <c r="A75" s="63"/>
      <c r="B75" s="33" t="s">
        <v>281</v>
      </c>
    </row>
    <row r="76" ht="22.5" customHeight="1">
      <c r="A76" s="63"/>
      <c r="B76" s="23" t="s">
        <v>283</v>
      </c>
    </row>
    <row r="77" ht="22.5" customHeight="1">
      <c r="A77" s="63"/>
      <c r="B77" s="23" t="s">
        <v>285</v>
      </c>
    </row>
    <row r="78" ht="22.5" customHeight="1">
      <c r="A78" s="20"/>
      <c r="B78" s="23" t="s">
        <v>289</v>
      </c>
    </row>
    <row r="79" ht="22.5" customHeight="1">
      <c r="A79" s="63"/>
      <c r="B79" s="23" t="s">
        <v>292</v>
      </c>
    </row>
    <row r="80" ht="22.5" customHeight="1">
      <c r="A80" s="63"/>
      <c r="B80" s="23" t="s">
        <v>293</v>
      </c>
    </row>
    <row r="81" ht="22.5" customHeight="1">
      <c r="A81" s="63"/>
      <c r="B81" s="23" t="s">
        <v>297</v>
      </c>
    </row>
    <row r="82" ht="22.5" customHeight="1">
      <c r="A82" s="63"/>
      <c r="B82" s="23" t="s">
        <v>298</v>
      </c>
    </row>
    <row r="83" ht="22.5" customHeight="1">
      <c r="A83" s="63"/>
      <c r="B83" s="23" t="s">
        <v>300</v>
      </c>
    </row>
    <row r="84" ht="22.5" customHeight="1">
      <c r="A84" s="63"/>
      <c r="B84" s="33" t="s">
        <v>302</v>
      </c>
    </row>
    <row r="85" ht="22.5" customHeight="1">
      <c r="A85" s="63"/>
      <c r="B85" s="33" t="s">
        <v>303</v>
      </c>
    </row>
    <row r="86" ht="22.5" customHeight="1">
      <c r="A86" s="63"/>
      <c r="B86" s="23" t="s">
        <v>304</v>
      </c>
    </row>
    <row r="87" ht="22.5" customHeight="1">
      <c r="A87" s="63"/>
      <c r="B87" s="23" t="s">
        <v>306</v>
      </c>
    </row>
    <row r="88" ht="22.5" customHeight="1">
      <c r="A88" s="63"/>
      <c r="B88" s="23" t="s">
        <v>307</v>
      </c>
    </row>
    <row r="89" ht="22.5" customHeight="1">
      <c r="A89" s="63"/>
      <c r="B89" s="23" t="s">
        <v>97</v>
      </c>
    </row>
    <row r="90" ht="22.5" customHeight="1">
      <c r="A90" s="63"/>
      <c r="B90" s="23" t="s">
        <v>110</v>
      </c>
    </row>
    <row r="91" ht="22.5" customHeight="1">
      <c r="A91" s="63"/>
      <c r="B91" s="23" t="s">
        <v>308</v>
      </c>
    </row>
    <row r="92" ht="22.5" customHeight="1">
      <c r="A92" s="63"/>
      <c r="B92" s="23" t="s">
        <v>309</v>
      </c>
    </row>
    <row r="93" ht="22.5" customHeight="1">
      <c r="A93" s="63"/>
      <c r="B93" s="23" t="s">
        <v>311</v>
      </c>
    </row>
    <row r="94" ht="22.5" customHeight="1">
      <c r="A94" s="20"/>
      <c r="B94" s="23" t="s">
        <v>313</v>
      </c>
    </row>
    <row r="95" ht="22.5" customHeight="1">
      <c r="A95" s="63"/>
      <c r="B95" s="23" t="s">
        <v>315</v>
      </c>
    </row>
    <row r="96" ht="22.5" customHeight="1">
      <c r="A96" s="63"/>
      <c r="B96" s="23" t="s">
        <v>317</v>
      </c>
    </row>
    <row r="97">
      <c r="A97" s="39"/>
      <c r="B97" s="41"/>
    </row>
    <row r="98">
      <c r="A98" s="43">
        <f>SUM(A4:A96)</f>
        <v>5</v>
      </c>
    </row>
    <row r="99">
      <c r="A99" s="43">
        <f>COUNTIF(A4:A96,"&gt;0")</f>
        <v>5</v>
      </c>
    </row>
  </sheetData>
  <conditionalFormatting sqref="B4:B96">
    <cfRule type="expression" dxfId="6" priority="1">
      <formula>$A4&gt;0</formula>
    </cfRule>
  </conditionalFormatting>
  <dataValidations>
    <dataValidation type="list" allowBlank="1" showErrorMessage="1" sqref="A4:A96">
      <formula1>#REF!</formula1>
    </dataValidation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23.38"/>
  </cols>
  <sheetData>
    <row r="1">
      <c r="A1" s="1"/>
      <c r="B1" s="2"/>
      <c r="D1" s="122" t="s">
        <v>500</v>
      </c>
    </row>
    <row r="2">
      <c r="A2" s="1"/>
      <c r="B2" s="2"/>
    </row>
    <row r="3" ht="22.5" customHeight="1">
      <c r="A3" s="12" t="s">
        <v>5</v>
      </c>
      <c r="B3" s="14" t="s">
        <v>8</v>
      </c>
    </row>
    <row r="4" ht="22.5" customHeight="1">
      <c r="A4" s="20">
        <v>1.0</v>
      </c>
      <c r="B4" s="23" t="s">
        <v>61</v>
      </c>
    </row>
    <row r="5" ht="22.5" customHeight="1">
      <c r="A5" s="20">
        <v>1.0</v>
      </c>
      <c r="B5" s="23" t="s">
        <v>112</v>
      </c>
    </row>
    <row r="6" ht="22.5" customHeight="1">
      <c r="A6" s="20">
        <v>1.0</v>
      </c>
      <c r="B6" s="23" t="s">
        <v>38</v>
      </c>
    </row>
    <row r="7" ht="22.5" customHeight="1">
      <c r="A7" s="20">
        <v>1.0</v>
      </c>
      <c r="B7" s="23" t="s">
        <v>57</v>
      </c>
    </row>
    <row r="8" ht="22.5" customHeight="1">
      <c r="A8" s="20">
        <v>1.0</v>
      </c>
      <c r="B8" s="23" t="s">
        <v>116</v>
      </c>
    </row>
    <row r="9" ht="22.5" customHeight="1">
      <c r="A9" s="20">
        <v>1.0</v>
      </c>
      <c r="B9" s="23" t="s">
        <v>121</v>
      </c>
    </row>
    <row r="10" ht="22.5" customHeight="1">
      <c r="A10" s="20">
        <v>1.0</v>
      </c>
      <c r="B10" s="23" t="s">
        <v>124</v>
      </c>
    </row>
    <row r="11" ht="22.5" customHeight="1">
      <c r="A11" s="20">
        <v>1.0</v>
      </c>
      <c r="B11" s="23" t="s">
        <v>128</v>
      </c>
    </row>
    <row r="12" ht="22.5" customHeight="1">
      <c r="A12" s="20"/>
      <c r="B12" s="23" t="s">
        <v>132</v>
      </c>
    </row>
    <row r="13" ht="22.5" customHeight="1">
      <c r="A13" s="20"/>
      <c r="B13" s="23" t="s">
        <v>134</v>
      </c>
    </row>
    <row r="14" ht="22.5" customHeight="1">
      <c r="A14" s="20"/>
      <c r="B14" s="23" t="s">
        <v>102</v>
      </c>
    </row>
    <row r="15" ht="22.5" customHeight="1">
      <c r="A15" s="20"/>
      <c r="B15" s="33" t="s">
        <v>137</v>
      </c>
    </row>
    <row r="16" ht="22.5" customHeight="1">
      <c r="A16" s="20"/>
      <c r="B16" s="23" t="s">
        <v>140</v>
      </c>
    </row>
    <row r="17" ht="22.5" customHeight="1">
      <c r="A17" s="20"/>
      <c r="B17" s="23" t="s">
        <v>143</v>
      </c>
    </row>
    <row r="18" ht="22.5" customHeight="1">
      <c r="A18" s="20"/>
      <c r="B18" s="33" t="s">
        <v>147</v>
      </c>
    </row>
    <row r="19" ht="22.5" customHeight="1">
      <c r="A19" s="20"/>
      <c r="B19" s="23" t="s">
        <v>150</v>
      </c>
    </row>
    <row r="20" ht="22.5" customHeight="1">
      <c r="A20" s="20"/>
      <c r="B20" s="23" t="s">
        <v>154</v>
      </c>
    </row>
    <row r="21" ht="22.5" customHeight="1">
      <c r="A21" s="20"/>
      <c r="B21" s="23" t="s">
        <v>51</v>
      </c>
    </row>
    <row r="22" ht="22.5" customHeight="1">
      <c r="A22" s="20"/>
      <c r="B22" s="23" t="s">
        <v>71</v>
      </c>
    </row>
    <row r="23" ht="22.5" customHeight="1">
      <c r="A23" s="20"/>
      <c r="B23" s="23" t="s">
        <v>158</v>
      </c>
    </row>
    <row r="24" ht="22.5" customHeight="1">
      <c r="A24" s="20"/>
      <c r="B24" s="23" t="s">
        <v>161</v>
      </c>
    </row>
    <row r="25" ht="22.5" customHeight="1">
      <c r="A25" s="20"/>
      <c r="B25" s="23" t="s">
        <v>163</v>
      </c>
    </row>
    <row r="26" ht="22.5" customHeight="1">
      <c r="A26" s="20"/>
      <c r="B26" s="23" t="s">
        <v>168</v>
      </c>
    </row>
    <row r="27" ht="22.5" customHeight="1">
      <c r="A27" s="20"/>
      <c r="B27" s="23" t="s">
        <v>174</v>
      </c>
    </row>
    <row r="28" ht="22.5" customHeight="1">
      <c r="A28" s="20"/>
      <c r="B28" s="23" t="s">
        <v>176</v>
      </c>
    </row>
    <row r="29" ht="22.5" customHeight="1">
      <c r="A29" s="20"/>
      <c r="B29" s="33" t="s">
        <v>178</v>
      </c>
    </row>
    <row r="30" ht="22.5" customHeight="1">
      <c r="A30" s="20"/>
      <c r="B30" s="23" t="s">
        <v>180</v>
      </c>
    </row>
    <row r="31" ht="22.5" customHeight="1">
      <c r="A31" s="20"/>
      <c r="B31" s="23" t="s">
        <v>23</v>
      </c>
    </row>
    <row r="32" ht="22.5" customHeight="1">
      <c r="A32" s="20"/>
      <c r="B32" s="23" t="s">
        <v>184</v>
      </c>
    </row>
    <row r="33" ht="22.5" customHeight="1">
      <c r="A33" s="20"/>
      <c r="B33" s="33" t="s">
        <v>31</v>
      </c>
    </row>
    <row r="34" ht="22.5" customHeight="1">
      <c r="A34" s="20"/>
      <c r="B34" s="23" t="s">
        <v>44</v>
      </c>
    </row>
    <row r="35" ht="22.5" customHeight="1">
      <c r="A35" s="20"/>
      <c r="B35" s="23" t="s">
        <v>187</v>
      </c>
    </row>
    <row r="36" ht="22.5" customHeight="1">
      <c r="A36" s="20"/>
      <c r="B36" s="23" t="s">
        <v>190</v>
      </c>
    </row>
    <row r="37" ht="22.5" customHeight="1">
      <c r="A37" s="20"/>
      <c r="B37" s="23" t="s">
        <v>193</v>
      </c>
    </row>
    <row r="38" ht="22.5" customHeight="1">
      <c r="A38" s="20"/>
      <c r="B38" s="23" t="s">
        <v>65</v>
      </c>
    </row>
    <row r="39" ht="22.5" customHeight="1">
      <c r="A39" s="20"/>
      <c r="B39" s="23" t="s">
        <v>197</v>
      </c>
    </row>
    <row r="40" ht="22.5" customHeight="1">
      <c r="A40" s="20"/>
      <c r="B40" s="23" t="s">
        <v>200</v>
      </c>
    </row>
    <row r="41" ht="22.5" customHeight="1">
      <c r="A41" s="20"/>
      <c r="B41" s="23" t="s">
        <v>204</v>
      </c>
    </row>
    <row r="42" ht="22.5" customHeight="1">
      <c r="A42" s="20"/>
      <c r="B42" s="23" t="s">
        <v>208</v>
      </c>
    </row>
    <row r="43" ht="22.5" customHeight="1">
      <c r="A43" s="20"/>
      <c r="B43" s="23" t="s">
        <v>211</v>
      </c>
    </row>
    <row r="44" ht="22.5" customHeight="1">
      <c r="A44" s="20"/>
      <c r="B44" s="23" t="s">
        <v>215</v>
      </c>
    </row>
    <row r="45" ht="22.5" customHeight="1">
      <c r="A45" s="20"/>
      <c r="B45" s="23" t="s">
        <v>218</v>
      </c>
    </row>
    <row r="46" ht="22.5" customHeight="1">
      <c r="A46" s="20"/>
      <c r="B46" s="23" t="s">
        <v>221</v>
      </c>
    </row>
    <row r="47" ht="22.5" customHeight="1">
      <c r="A47" s="20"/>
      <c r="B47" s="23" t="s">
        <v>223</v>
      </c>
    </row>
    <row r="48" ht="22.5" customHeight="1">
      <c r="A48" s="20"/>
      <c r="B48" s="33" t="s">
        <v>225</v>
      </c>
    </row>
    <row r="49" ht="22.5" customHeight="1">
      <c r="A49" s="20"/>
      <c r="B49" s="23" t="s">
        <v>226</v>
      </c>
    </row>
    <row r="50" ht="22.5" customHeight="1">
      <c r="A50" s="20"/>
      <c r="B50" s="23" t="s">
        <v>228</v>
      </c>
    </row>
    <row r="51" ht="22.5" customHeight="1">
      <c r="A51" s="63"/>
      <c r="B51" s="23" t="s">
        <v>230</v>
      </c>
    </row>
    <row r="52" ht="22.5" customHeight="1">
      <c r="A52" s="63"/>
      <c r="B52" s="23" t="s">
        <v>232</v>
      </c>
    </row>
    <row r="53" ht="22.5" customHeight="1">
      <c r="A53" s="63"/>
      <c r="B53" s="23" t="s">
        <v>234</v>
      </c>
    </row>
    <row r="54" ht="22.5" customHeight="1">
      <c r="A54" s="63"/>
      <c r="B54" s="23" t="s">
        <v>235</v>
      </c>
    </row>
    <row r="55" ht="22.5" customHeight="1">
      <c r="A55" s="63"/>
      <c r="B55" s="23" t="s">
        <v>236</v>
      </c>
    </row>
    <row r="56" ht="22.5" customHeight="1">
      <c r="A56" s="63"/>
      <c r="B56" s="23" t="s">
        <v>237</v>
      </c>
    </row>
    <row r="57" ht="22.5" customHeight="1">
      <c r="A57" s="20"/>
      <c r="B57" s="23" t="s">
        <v>240</v>
      </c>
    </row>
    <row r="58" ht="22.5" customHeight="1">
      <c r="A58" s="20"/>
      <c r="B58" s="33" t="s">
        <v>94</v>
      </c>
    </row>
    <row r="59" ht="22.5" customHeight="1">
      <c r="A59" s="63"/>
      <c r="B59" s="23" t="s">
        <v>241</v>
      </c>
    </row>
    <row r="60" ht="22.5" customHeight="1">
      <c r="A60" s="63"/>
      <c r="B60" s="23" t="s">
        <v>242</v>
      </c>
    </row>
    <row r="61" ht="22.5" customHeight="1">
      <c r="A61" s="20"/>
      <c r="B61" s="23" t="s">
        <v>245</v>
      </c>
    </row>
    <row r="62" ht="22.5" customHeight="1">
      <c r="A62" s="63"/>
      <c r="B62" s="23" t="s">
        <v>246</v>
      </c>
    </row>
    <row r="63" ht="22.5" customHeight="1">
      <c r="A63" s="20"/>
      <c r="B63" s="23" t="s">
        <v>250</v>
      </c>
    </row>
    <row r="64" ht="22.5" customHeight="1">
      <c r="A64" s="63"/>
      <c r="B64" s="23" t="s">
        <v>251</v>
      </c>
    </row>
    <row r="65" ht="22.5" customHeight="1">
      <c r="A65" s="63"/>
      <c r="B65" s="23" t="s">
        <v>254</v>
      </c>
    </row>
    <row r="66" ht="22.5" customHeight="1">
      <c r="A66" s="63"/>
      <c r="B66" s="23" t="s">
        <v>256</v>
      </c>
    </row>
    <row r="67" ht="22.5" customHeight="1">
      <c r="A67" s="63"/>
      <c r="B67" s="23" t="s">
        <v>257</v>
      </c>
    </row>
    <row r="68" ht="22.5" customHeight="1">
      <c r="A68" s="63"/>
      <c r="B68" s="23" t="s">
        <v>259</v>
      </c>
    </row>
    <row r="69" ht="22.5" customHeight="1">
      <c r="A69" s="20"/>
      <c r="B69" s="23" t="s">
        <v>99</v>
      </c>
    </row>
    <row r="70" ht="22.5" customHeight="1">
      <c r="A70" s="63"/>
      <c r="B70" s="23" t="s">
        <v>261</v>
      </c>
    </row>
    <row r="71" ht="22.5" customHeight="1">
      <c r="A71" s="63"/>
      <c r="B71" s="23" t="s">
        <v>262</v>
      </c>
    </row>
    <row r="72" ht="22.5" customHeight="1">
      <c r="A72" s="63"/>
      <c r="B72" s="23" t="s">
        <v>264</v>
      </c>
    </row>
    <row r="73" ht="22.5" customHeight="1">
      <c r="A73" s="63"/>
      <c r="B73" s="33" t="s">
        <v>265</v>
      </c>
    </row>
    <row r="74" ht="22.5" customHeight="1">
      <c r="A74" s="63"/>
      <c r="B74" s="23" t="s">
        <v>267</v>
      </c>
    </row>
    <row r="75" ht="22.5" customHeight="1">
      <c r="A75" s="63"/>
      <c r="B75" s="23" t="s">
        <v>268</v>
      </c>
    </row>
    <row r="76" ht="22.5" customHeight="1">
      <c r="A76" s="63"/>
      <c r="B76" s="23" t="s">
        <v>269</v>
      </c>
    </row>
    <row r="77" ht="22.5" customHeight="1">
      <c r="A77" s="63"/>
      <c r="B77" s="23" t="s">
        <v>270</v>
      </c>
    </row>
    <row r="78" ht="22.5" customHeight="1">
      <c r="A78" s="63"/>
      <c r="B78" s="23" t="s">
        <v>273</v>
      </c>
    </row>
    <row r="79" ht="22.5" customHeight="1">
      <c r="A79" s="63"/>
      <c r="B79" s="23" t="s">
        <v>275</v>
      </c>
    </row>
    <row r="80" ht="22.5" customHeight="1">
      <c r="A80" s="63"/>
      <c r="B80" s="23" t="s">
        <v>276</v>
      </c>
    </row>
    <row r="81" ht="22.5" customHeight="1">
      <c r="A81" s="63"/>
      <c r="B81" s="23" t="s">
        <v>278</v>
      </c>
    </row>
    <row r="82" ht="22.5" customHeight="1">
      <c r="A82" s="63"/>
      <c r="B82" s="33" t="s">
        <v>281</v>
      </c>
    </row>
    <row r="83" ht="22.5" customHeight="1">
      <c r="A83" s="63"/>
      <c r="B83" s="23" t="s">
        <v>283</v>
      </c>
    </row>
    <row r="84" ht="22.5" customHeight="1">
      <c r="A84" s="63"/>
      <c r="B84" s="23" t="s">
        <v>285</v>
      </c>
    </row>
    <row r="85" ht="22.5" customHeight="1">
      <c r="A85" s="20"/>
      <c r="B85" s="23" t="s">
        <v>289</v>
      </c>
    </row>
    <row r="86" ht="22.5" customHeight="1">
      <c r="A86" s="63"/>
      <c r="B86" s="23" t="s">
        <v>292</v>
      </c>
    </row>
    <row r="87" ht="22.5" customHeight="1">
      <c r="A87" s="63"/>
      <c r="B87" s="23" t="s">
        <v>293</v>
      </c>
    </row>
    <row r="88" ht="22.5" customHeight="1">
      <c r="A88" s="63"/>
      <c r="B88" s="23" t="s">
        <v>297</v>
      </c>
    </row>
    <row r="89" ht="22.5" customHeight="1">
      <c r="A89" s="63"/>
      <c r="B89" s="23" t="s">
        <v>298</v>
      </c>
    </row>
    <row r="90" ht="22.5" customHeight="1">
      <c r="A90" s="63"/>
      <c r="B90" s="23" t="s">
        <v>300</v>
      </c>
    </row>
    <row r="91" ht="22.5" customHeight="1">
      <c r="A91" s="63"/>
      <c r="B91" s="33" t="s">
        <v>302</v>
      </c>
    </row>
    <row r="92" ht="22.5" customHeight="1">
      <c r="A92" s="63"/>
      <c r="B92" s="33" t="s">
        <v>303</v>
      </c>
    </row>
    <row r="93" ht="22.5" customHeight="1">
      <c r="A93" s="63"/>
      <c r="B93" s="23" t="s">
        <v>304</v>
      </c>
    </row>
    <row r="94" ht="22.5" customHeight="1">
      <c r="A94" s="63"/>
      <c r="B94" s="23" t="s">
        <v>306</v>
      </c>
    </row>
    <row r="95" ht="22.5" customHeight="1">
      <c r="A95" s="63"/>
      <c r="B95" s="23" t="s">
        <v>307</v>
      </c>
    </row>
    <row r="96" ht="22.5" customHeight="1">
      <c r="A96" s="63"/>
      <c r="B96" s="23" t="s">
        <v>97</v>
      </c>
    </row>
    <row r="97" ht="22.5" customHeight="1">
      <c r="A97" s="63"/>
      <c r="B97" s="23" t="s">
        <v>110</v>
      </c>
    </row>
    <row r="98" ht="22.5" customHeight="1">
      <c r="A98" s="63"/>
      <c r="B98" s="23" t="s">
        <v>308</v>
      </c>
    </row>
    <row r="99" ht="22.5" customHeight="1">
      <c r="A99" s="63"/>
      <c r="B99" s="23" t="s">
        <v>309</v>
      </c>
    </row>
    <row r="100" ht="22.5" customHeight="1">
      <c r="A100" s="63"/>
      <c r="B100" s="23" t="s">
        <v>311</v>
      </c>
    </row>
    <row r="101" ht="22.5" customHeight="1">
      <c r="A101" s="20"/>
      <c r="B101" s="23" t="s">
        <v>313</v>
      </c>
    </row>
    <row r="102" ht="22.5" customHeight="1">
      <c r="A102" s="63"/>
      <c r="B102" s="23" t="s">
        <v>315</v>
      </c>
    </row>
    <row r="103" ht="22.5" customHeight="1">
      <c r="A103" s="63"/>
      <c r="B103" s="23" t="s">
        <v>317</v>
      </c>
    </row>
    <row r="104">
      <c r="A104" s="39"/>
      <c r="B104" s="41"/>
    </row>
    <row r="105">
      <c r="A105" s="43">
        <f>SUM(A4:A103)</f>
        <v>8</v>
      </c>
    </row>
    <row r="106">
      <c r="A106" s="43">
        <f>COUNTIF(A4:A103,"&gt;0")</f>
        <v>8</v>
      </c>
    </row>
  </sheetData>
  <conditionalFormatting sqref="B4:B103">
    <cfRule type="expression" dxfId="6" priority="1">
      <formula>$A4&gt;0</formula>
    </cfRule>
  </conditionalFormatting>
  <dataValidations>
    <dataValidation type="list" allowBlank="1" showErrorMessage="1" sqref="A4:A103">
      <formula1>#REF!</formula1>
    </dataValidation>
  </dataValidations>
  <drawing r:id="rId1"/>
  <tableParts count="1">
    <tablePart r:id="rId3"/>
  </tableParts>
</worksheet>
</file>